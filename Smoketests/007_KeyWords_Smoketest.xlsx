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5B812E65-3455-43AF-9819-60BB1BC28EDA}" xr6:coauthVersionLast="47" xr6:coauthVersionMax="47" xr10:uidLastSave="{00000000-0000-0000-0000-000000000000}"/>
  <bookViews>
    <workbookView xWindow="-12800" yWindow="-21710" windowWidth="38620" windowHeight="21100" tabRatio="797" activeTab="6" xr2:uid="{00000000-000D-0000-FFFF-FFFF00000000}"/>
  </bookViews>
  <sheets>
    <sheet name="000" sheetId="1" r:id="rId1"/>
    <sheet name="02-E2E" sheetId="69" r:id="rId2"/>
    <sheet name="07-E2E" sheetId="2" r:id="rId3"/>
    <sheet name="08-E2E" sheetId="3" r:id="rId4"/>
    <sheet name="09-E2E" sheetId="4" r:id="rId5"/>
    <sheet name="DB01" sheetId="63" r:id="rId6"/>
    <sheet name="DO04d" sheetId="67" r:id="rId7"/>
    <sheet name="DO04e" sheetId="68" r:id="rId8"/>
    <sheet name="DW01" sheetId="64" r:id="rId9"/>
    <sheet name="DW02" sheetId="65" r:id="rId10"/>
    <sheet name="R09" sheetId="46" r:id="rId11"/>
    <sheet name="Summary" sheetId="101" r:id="rId12"/>
  </sheets>
  <definedNames>
    <definedName name="_xlnm._FilterDatabase">#REF!</definedName>
    <definedName name="SpeedFaktor">'000'!$E$16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67" l="1"/>
  <c r="G1" i="68"/>
  <c r="L39" i="3"/>
  <c r="R39" i="3" s="1"/>
  <c r="L38" i="3"/>
  <c r="R38" i="3" s="1"/>
  <c r="L37" i="3"/>
  <c r="O4" i="67" s="1"/>
  <c r="AK6" i="46"/>
  <c r="AI6" i="46"/>
  <c r="AK5" i="46"/>
  <c r="AI5" i="46"/>
  <c r="AK4" i="46"/>
  <c r="AI4" i="46"/>
  <c r="AK3" i="46"/>
  <c r="E3" i="46"/>
  <c r="C3" i="46" s="1"/>
  <c r="AK2" i="46"/>
  <c r="AI2" i="46"/>
  <c r="C2" i="46"/>
  <c r="G1" i="46"/>
  <c r="AK4" i="68"/>
  <c r="AI4" i="68"/>
  <c r="Q4" i="68"/>
  <c r="AK3" i="68"/>
  <c r="E3" i="68"/>
  <c r="C3" i="68" s="1"/>
  <c r="AK2" i="68"/>
  <c r="AI2" i="68"/>
  <c r="C2" i="68"/>
  <c r="AK4" i="67"/>
  <c r="AI4" i="67"/>
  <c r="AK3" i="67"/>
  <c r="E3" i="67"/>
  <c r="C3" i="67" s="1"/>
  <c r="AK2" i="67"/>
  <c r="AI2" i="67"/>
  <c r="C2" i="67"/>
  <c r="AK4" i="65"/>
  <c r="AI4" i="65"/>
  <c r="AK3" i="65"/>
  <c r="E3" i="65"/>
  <c r="C3" i="65"/>
  <c r="AK2" i="65"/>
  <c r="AI2" i="65"/>
  <c r="C2" i="65"/>
  <c r="G1" i="65"/>
  <c r="Q8" i="64"/>
  <c r="AK3" i="64"/>
  <c r="E3" i="64"/>
  <c r="C3" i="64" s="1"/>
  <c r="AK2" i="64"/>
  <c r="AI2" i="64"/>
  <c r="C2" i="64"/>
  <c r="G1" i="64"/>
  <c r="AK4" i="63"/>
  <c r="AI4" i="63"/>
  <c r="C4" i="63"/>
  <c r="AK3" i="63"/>
  <c r="E3" i="63"/>
  <c r="C3" i="63" s="1"/>
  <c r="AK2" i="63"/>
  <c r="AI2" i="63"/>
  <c r="C2" i="63"/>
  <c r="G1" i="63"/>
  <c r="Q56" i="4"/>
  <c r="D56" i="4"/>
  <c r="D57" i="4" s="1"/>
  <c r="E53" i="4" a="1"/>
  <c r="E53" i="4"/>
  <c r="AM50" i="4"/>
  <c r="AK50" i="4"/>
  <c r="AI50" i="4"/>
  <c r="G50" i="4"/>
  <c r="I45" i="4" s="1"/>
  <c r="AM49" i="4"/>
  <c r="AK49" i="4"/>
  <c r="AI49" i="4"/>
  <c r="H49" i="4"/>
  <c r="G49" i="4"/>
  <c r="AM48" i="4"/>
  <c r="AK48" i="4"/>
  <c r="AI48" i="4"/>
  <c r="I48" i="4"/>
  <c r="AM47" i="4"/>
  <c r="AK47" i="4"/>
  <c r="AI47" i="4"/>
  <c r="J47" i="4"/>
  <c r="G47" i="4"/>
  <c r="AM46" i="4"/>
  <c r="AK46" i="4"/>
  <c r="AI46" i="4"/>
  <c r="I46" i="4"/>
  <c r="I50" i="4" s="1"/>
  <c r="AM45" i="4"/>
  <c r="AK45" i="4"/>
  <c r="AI45" i="4"/>
  <c r="J45" i="4"/>
  <c r="J49" i="4" s="1"/>
  <c r="H45" i="4"/>
  <c r="D45" i="4"/>
  <c r="E45" i="4" s="1" a="1"/>
  <c r="E45" i="4" s="1"/>
  <c r="AM44" i="4"/>
  <c r="AK44" i="4"/>
  <c r="AI44" i="4"/>
  <c r="I44" i="4"/>
  <c r="H44" i="4"/>
  <c r="H48" i="4" s="1"/>
  <c r="G44" i="4"/>
  <c r="AM43" i="4"/>
  <c r="AK43" i="4"/>
  <c r="AI43" i="4"/>
  <c r="J43" i="4"/>
  <c r="H43" i="4"/>
  <c r="H47" i="4" s="1"/>
  <c r="G43" i="4"/>
  <c r="E43" i="4" a="1"/>
  <c r="E43" i="4" s="1"/>
  <c r="AM42" i="4"/>
  <c r="AK42" i="4"/>
  <c r="AI42" i="4"/>
  <c r="AM41" i="4"/>
  <c r="AK41" i="4"/>
  <c r="AI41" i="4"/>
  <c r="AM40" i="4"/>
  <c r="AK40" i="4"/>
  <c r="AI40" i="4"/>
  <c r="AM39" i="4"/>
  <c r="AK39" i="4"/>
  <c r="AI39" i="4"/>
  <c r="AM38" i="4"/>
  <c r="AK38" i="4"/>
  <c r="AI38" i="4"/>
  <c r="AM37" i="4"/>
  <c r="AK37" i="4"/>
  <c r="AI37" i="4"/>
  <c r="AM36" i="4"/>
  <c r="AK36" i="4"/>
  <c r="AI36" i="4"/>
  <c r="AM35" i="4"/>
  <c r="AK35" i="4"/>
  <c r="AI35" i="4"/>
  <c r="AM34" i="4"/>
  <c r="AK34" i="4"/>
  <c r="AI34" i="4"/>
  <c r="E34" i="4"/>
  <c r="C34" i="4" s="1"/>
  <c r="AM33" i="4"/>
  <c r="AK33" i="4"/>
  <c r="AI33" i="4"/>
  <c r="AM32" i="4"/>
  <c r="AK32" i="4"/>
  <c r="AI32" i="4"/>
  <c r="E32" i="4"/>
  <c r="C32" i="4" s="1"/>
  <c r="AM31" i="4"/>
  <c r="AK31" i="4"/>
  <c r="AI31" i="4"/>
  <c r="AM30" i="4"/>
  <c r="AK30" i="4"/>
  <c r="AI30" i="4"/>
  <c r="E30" i="4"/>
  <c r="C30" i="4" s="1"/>
  <c r="AM29" i="4"/>
  <c r="AK29" i="4"/>
  <c r="AI29" i="4"/>
  <c r="E29" i="4"/>
  <c r="C29" i="4" s="1"/>
  <c r="AM28" i="4"/>
  <c r="AK28" i="4"/>
  <c r="AI28" i="4"/>
  <c r="I28" i="4"/>
  <c r="G28" i="4"/>
  <c r="AM27" i="4"/>
  <c r="AK27" i="4"/>
  <c r="AI27" i="4"/>
  <c r="K27" i="4"/>
  <c r="I27" i="4"/>
  <c r="AM26" i="4"/>
  <c r="AK26" i="4"/>
  <c r="AI26" i="4"/>
  <c r="K26" i="4"/>
  <c r="G26" i="4"/>
  <c r="AM25" i="4"/>
  <c r="AK25" i="4"/>
  <c r="AI25" i="4"/>
  <c r="AM24" i="4"/>
  <c r="AK24" i="4"/>
  <c r="AI24" i="4"/>
  <c r="Q24" i="4"/>
  <c r="O24" i="4"/>
  <c r="AM23" i="4"/>
  <c r="AK23" i="4"/>
  <c r="AI23" i="4"/>
  <c r="AM22" i="4"/>
  <c r="AK22" i="4"/>
  <c r="AI22" i="4"/>
  <c r="E22" i="4"/>
  <c r="C22" i="4" s="1"/>
  <c r="AM21" i="4"/>
  <c r="AK21" i="4"/>
  <c r="AI21" i="4"/>
  <c r="K21" i="4"/>
  <c r="I21" i="4"/>
  <c r="AM20" i="4"/>
  <c r="AK20" i="4"/>
  <c r="AI20" i="4"/>
  <c r="M20" i="4"/>
  <c r="I20" i="4"/>
  <c r="AM19" i="4"/>
  <c r="AK19" i="4"/>
  <c r="AI19" i="4"/>
  <c r="AM18" i="4"/>
  <c r="AK18" i="4"/>
  <c r="AI18" i="4"/>
  <c r="E18" i="4"/>
  <c r="C18" i="4"/>
  <c r="AM17" i="4"/>
  <c r="AK17" i="4"/>
  <c r="AI17" i="4"/>
  <c r="AM16" i="4"/>
  <c r="AK16" i="4"/>
  <c r="AI16" i="4"/>
  <c r="AM15" i="4"/>
  <c r="AK15" i="4"/>
  <c r="AI15" i="4"/>
  <c r="AM14" i="4"/>
  <c r="AK14" i="4"/>
  <c r="AI14" i="4"/>
  <c r="E14" i="4"/>
  <c r="C14" i="4" s="1"/>
  <c r="AM13" i="4"/>
  <c r="AK13" i="4"/>
  <c r="AI13" i="4"/>
  <c r="AM12" i="4"/>
  <c r="AK12" i="4"/>
  <c r="AI12" i="4"/>
  <c r="I12" i="4"/>
  <c r="G12" i="4"/>
  <c r="G23" i="4" s="1"/>
  <c r="AM11" i="4"/>
  <c r="AK11" i="4"/>
  <c r="AI11" i="4"/>
  <c r="E11" i="4"/>
  <c r="C11" i="4"/>
  <c r="AM10" i="4"/>
  <c r="AK10" i="4"/>
  <c r="AI10" i="4"/>
  <c r="AM9" i="4"/>
  <c r="AK9" i="4"/>
  <c r="AI9" i="4"/>
  <c r="AM8" i="4"/>
  <c r="AK8" i="4"/>
  <c r="AI8" i="4"/>
  <c r="O8" i="4"/>
  <c r="O19" i="4" s="1"/>
  <c r="O20" i="4" s="1"/>
  <c r="O21" i="4" s="1"/>
  <c r="K8" i="4"/>
  <c r="I8" i="4"/>
  <c r="AM7" i="4"/>
  <c r="AK7" i="4"/>
  <c r="AI7" i="4"/>
  <c r="K7" i="4"/>
  <c r="I7" i="4"/>
  <c r="G7" i="4"/>
  <c r="AM6" i="4"/>
  <c r="AK6" i="4"/>
  <c r="AI6" i="4"/>
  <c r="AC6" i="4"/>
  <c r="AA6" i="4"/>
  <c r="S6" i="4"/>
  <c r="Q6" i="4"/>
  <c r="I6" i="4"/>
  <c r="AM5" i="4"/>
  <c r="AK5" i="4"/>
  <c r="AI5" i="4"/>
  <c r="I5" i="4"/>
  <c r="AM4" i="4"/>
  <c r="AK4" i="4"/>
  <c r="AI4" i="4"/>
  <c r="E4" i="4"/>
  <c r="C4" i="4"/>
  <c r="AM3" i="4"/>
  <c r="AK3" i="4"/>
  <c r="AI3" i="4"/>
  <c r="E3" i="4"/>
  <c r="AM2" i="4"/>
  <c r="AK2" i="4"/>
  <c r="AI2" i="4"/>
  <c r="E2" i="4"/>
  <c r="C2" i="4"/>
  <c r="G1" i="4"/>
  <c r="F88" i="3" a="1"/>
  <c r="F88" i="3"/>
  <c r="F85" i="3" a="1"/>
  <c r="F85" i="3"/>
  <c r="E77" i="3"/>
  <c r="E78" i="3" s="1"/>
  <c r="E55" i="3" a="1"/>
  <c r="E55" i="3"/>
  <c r="G52" i="3"/>
  <c r="I47" i="3" s="1"/>
  <c r="M20" i="3" s="1"/>
  <c r="AK51" i="3"/>
  <c r="J51" i="3"/>
  <c r="I51" i="3"/>
  <c r="G51" i="3"/>
  <c r="J46" i="3" s="1"/>
  <c r="AK50" i="3"/>
  <c r="AK49" i="3"/>
  <c r="H49" i="3"/>
  <c r="AK48" i="3"/>
  <c r="H48" i="3"/>
  <c r="H52" i="3" s="1"/>
  <c r="AK47" i="3"/>
  <c r="J47" i="3"/>
  <c r="H47" i="3"/>
  <c r="H51" i="3" s="1"/>
  <c r="D47" i="3"/>
  <c r="E47" i="3" s="1" a="1"/>
  <c r="E47" i="3" s="1"/>
  <c r="AK46" i="3"/>
  <c r="H46" i="3"/>
  <c r="H50" i="3" s="1"/>
  <c r="G46" i="3"/>
  <c r="G4" i="3" s="1"/>
  <c r="AK45" i="3"/>
  <c r="J45" i="3"/>
  <c r="J49" i="3" s="1"/>
  <c r="I45" i="3"/>
  <c r="H45" i="3"/>
  <c r="G45" i="3"/>
  <c r="G49" i="3" s="1"/>
  <c r="E45" i="3" a="1"/>
  <c r="E45" i="3" s="1"/>
  <c r="AK44" i="3"/>
  <c r="AK43" i="3"/>
  <c r="AK42" i="3"/>
  <c r="N39" i="3"/>
  <c r="N38" i="3"/>
  <c r="N37" i="3"/>
  <c r="Q4" i="67" s="1"/>
  <c r="AK36" i="3"/>
  <c r="AK35" i="3"/>
  <c r="AK34" i="3"/>
  <c r="E34" i="3"/>
  <c r="C34" i="3" s="1"/>
  <c r="AK33" i="3"/>
  <c r="AK32" i="3"/>
  <c r="E32" i="3"/>
  <c r="C32" i="3"/>
  <c r="AK31" i="3"/>
  <c r="AK30" i="3"/>
  <c r="E30" i="3"/>
  <c r="C30" i="3"/>
  <c r="AK29" i="3"/>
  <c r="E29" i="3"/>
  <c r="C29" i="3" s="1"/>
  <c r="AK28" i="3"/>
  <c r="I28" i="3"/>
  <c r="G28" i="3"/>
  <c r="AK27" i="3"/>
  <c r="K27" i="3"/>
  <c r="I27" i="3"/>
  <c r="AK26" i="3"/>
  <c r="K26" i="3"/>
  <c r="G26" i="3"/>
  <c r="AK25" i="3"/>
  <c r="AK24" i="3"/>
  <c r="I24" i="3"/>
  <c r="AK23" i="3"/>
  <c r="AK22" i="3"/>
  <c r="Q22" i="3"/>
  <c r="O22" i="3"/>
  <c r="AK21" i="3"/>
  <c r="AK20" i="3"/>
  <c r="K20" i="3"/>
  <c r="I20" i="3"/>
  <c r="AK19" i="3"/>
  <c r="I19" i="3"/>
  <c r="AK18" i="3"/>
  <c r="I18" i="3"/>
  <c r="AK17" i="3"/>
  <c r="E17" i="3"/>
  <c r="C17" i="3"/>
  <c r="AK16" i="3"/>
  <c r="AK15" i="3"/>
  <c r="I15" i="3"/>
  <c r="E15" i="3" s="1"/>
  <c r="G15" i="3"/>
  <c r="AK14" i="3"/>
  <c r="AK13" i="3"/>
  <c r="E13" i="3"/>
  <c r="C13" i="3"/>
  <c r="AK12" i="3"/>
  <c r="G12" i="3"/>
  <c r="G4" i="67" s="1"/>
  <c r="AK11" i="3"/>
  <c r="I11" i="3"/>
  <c r="E11" i="3" s="1"/>
  <c r="C11" i="3" s="1"/>
  <c r="G11" i="3"/>
  <c r="G5" i="46" s="1"/>
  <c r="C5" i="46" s="1"/>
  <c r="AK10" i="3"/>
  <c r="E10" i="3"/>
  <c r="C10" i="3"/>
  <c r="AK9" i="3"/>
  <c r="AK8" i="3"/>
  <c r="AK7" i="3"/>
  <c r="O7" i="3"/>
  <c r="O18" i="3" s="1"/>
  <c r="O19" i="3" s="1"/>
  <c r="O20" i="3" s="1"/>
  <c r="K7" i="3"/>
  <c r="I7" i="3"/>
  <c r="AK6" i="3"/>
  <c r="K6" i="3"/>
  <c r="I6" i="3"/>
  <c r="G6" i="3"/>
  <c r="AK5" i="3"/>
  <c r="AC5" i="3"/>
  <c r="AA5" i="3"/>
  <c r="S5" i="3"/>
  <c r="Q5" i="3"/>
  <c r="I5" i="3"/>
  <c r="AK4" i="3"/>
  <c r="I4" i="3"/>
  <c r="AK3" i="3"/>
  <c r="E3" i="3"/>
  <c r="C3" i="3"/>
  <c r="AK2" i="3"/>
  <c r="E2" i="3"/>
  <c r="C2" i="3"/>
  <c r="G1" i="3"/>
  <c r="F91" i="2" a="1"/>
  <c r="F91" i="2"/>
  <c r="F88" i="2" a="1"/>
  <c r="F88" i="2"/>
  <c r="F86" i="2" a="1"/>
  <c r="F86" i="2"/>
  <c r="F85" i="2" a="1"/>
  <c r="F85" i="2"/>
  <c r="F84" i="2" a="1"/>
  <c r="F84" i="2"/>
  <c r="F83" i="2" a="1"/>
  <c r="F83" i="2"/>
  <c r="F82" i="2" a="1"/>
  <c r="F82" i="2"/>
  <c r="F81" i="2" a="1"/>
  <c r="F81" i="2"/>
  <c r="F80" i="2" a="1"/>
  <c r="F80" i="2"/>
  <c r="E80" i="2"/>
  <c r="E81" i="2" s="1"/>
  <c r="E82" i="2" s="1"/>
  <c r="E83" i="2" s="1"/>
  <c r="E84" i="2" s="1"/>
  <c r="E85" i="2" s="1"/>
  <c r="E86" i="2" s="1"/>
  <c r="G77" i="2"/>
  <c r="G76" i="2"/>
  <c r="E73" i="2" a="1"/>
  <c r="E73" i="2"/>
  <c r="E71" i="2" a="1"/>
  <c r="E71" i="2"/>
  <c r="E70" i="2" a="1"/>
  <c r="E70" i="2"/>
  <c r="E69" i="2" a="1"/>
  <c r="E69" i="2"/>
  <c r="E68" i="2" a="1"/>
  <c r="E68" i="2"/>
  <c r="E67" i="2" a="1"/>
  <c r="E67" i="2"/>
  <c r="E66" i="2" a="1"/>
  <c r="E66" i="2"/>
  <c r="Q65" i="2"/>
  <c r="E65" i="2" a="1"/>
  <c r="E65" i="2"/>
  <c r="D65" i="2"/>
  <c r="D66" i="2" s="1"/>
  <c r="D67" i="2" s="1"/>
  <c r="D68" i="2" s="1"/>
  <c r="D69" i="2" s="1"/>
  <c r="D70" i="2" s="1"/>
  <c r="D71" i="2" s="1"/>
  <c r="G64" i="2"/>
  <c r="G63" i="2"/>
  <c r="I58" i="2" s="1"/>
  <c r="I62" i="2" s="1"/>
  <c r="M21" i="2" s="1"/>
  <c r="J62" i="2"/>
  <c r="K21" i="2" s="1"/>
  <c r="G62" i="2"/>
  <c r="J60" i="2"/>
  <c r="I59" i="2"/>
  <c r="I63" i="2" s="1"/>
  <c r="J58" i="2"/>
  <c r="H58" i="2"/>
  <c r="H62" i="2" s="1"/>
  <c r="I21" i="2" s="1"/>
  <c r="G58" i="2"/>
  <c r="H57" i="2"/>
  <c r="H61" i="2" s="1"/>
  <c r="I20" i="2" s="1"/>
  <c r="G57" i="2"/>
  <c r="J56" i="2"/>
  <c r="H56" i="2"/>
  <c r="H60" i="2" s="1"/>
  <c r="G56" i="2"/>
  <c r="G12" i="2" s="1"/>
  <c r="AK53" i="2"/>
  <c r="AI53" i="2"/>
  <c r="AK52" i="2"/>
  <c r="AI52" i="2"/>
  <c r="I52" i="2"/>
  <c r="G52" i="2"/>
  <c r="E52" i="2"/>
  <c r="C52" i="2"/>
  <c r="AK51" i="2"/>
  <c r="AI51" i="2"/>
  <c r="AK50" i="2"/>
  <c r="AI50" i="2"/>
  <c r="I50" i="2"/>
  <c r="E50" i="2" s="1"/>
  <c r="C50" i="2" s="1"/>
  <c r="AK49" i="2"/>
  <c r="AI49" i="2"/>
  <c r="AK48" i="2"/>
  <c r="AI48" i="2"/>
  <c r="E48" i="2"/>
  <c r="C48" i="2" s="1"/>
  <c r="AK47" i="2"/>
  <c r="AI47" i="2"/>
  <c r="E47" i="2"/>
  <c r="C47" i="2" s="1"/>
  <c r="AK46" i="2"/>
  <c r="AI46" i="2"/>
  <c r="E46" i="2"/>
  <c r="C46" i="2" s="1"/>
  <c r="AK45" i="2"/>
  <c r="AI45" i="2"/>
  <c r="E45" i="2"/>
  <c r="C45" i="2" s="1"/>
  <c r="AK44" i="2"/>
  <c r="AI44" i="2"/>
  <c r="AK43" i="2"/>
  <c r="AI43" i="2"/>
  <c r="AK42" i="2"/>
  <c r="AI42" i="2"/>
  <c r="AK41" i="2"/>
  <c r="AI41" i="2"/>
  <c r="AK40" i="2"/>
  <c r="AI40" i="2"/>
  <c r="AK39" i="2"/>
  <c r="AI39" i="2"/>
  <c r="C39" i="2"/>
  <c r="AK38" i="2"/>
  <c r="AI38" i="2"/>
  <c r="G38" i="2"/>
  <c r="E38" i="2"/>
  <c r="C38" i="2"/>
  <c r="AK37" i="2"/>
  <c r="AI37" i="2"/>
  <c r="E37" i="2"/>
  <c r="C37" i="2"/>
  <c r="AK36" i="2"/>
  <c r="AI36" i="2"/>
  <c r="E36" i="2"/>
  <c r="C36" i="2"/>
  <c r="AK35" i="2"/>
  <c r="AI35" i="2"/>
  <c r="AK34" i="2"/>
  <c r="AI34" i="2"/>
  <c r="E34" i="2"/>
  <c r="C34" i="2" s="1"/>
  <c r="AK33" i="2"/>
  <c r="AI33" i="2"/>
  <c r="E33" i="2"/>
  <c r="C33" i="2" s="1"/>
  <c r="AK32" i="2"/>
  <c r="AI32" i="2"/>
  <c r="AK31" i="2"/>
  <c r="AI31" i="2"/>
  <c r="E31" i="2"/>
  <c r="C31" i="2"/>
  <c r="AK30" i="2"/>
  <c r="AI30" i="2"/>
  <c r="AK29" i="2"/>
  <c r="AI29" i="2"/>
  <c r="I29" i="2"/>
  <c r="G29" i="2"/>
  <c r="K28" i="2"/>
  <c r="I28" i="2"/>
  <c r="AK27" i="2"/>
  <c r="AI27" i="2"/>
  <c r="K27" i="2"/>
  <c r="G27" i="2"/>
  <c r="AK26" i="2"/>
  <c r="AI26" i="2"/>
  <c r="E26" i="2"/>
  <c r="C26" i="2" s="1"/>
  <c r="AK25" i="2"/>
  <c r="AI25" i="2"/>
  <c r="Y25" i="2"/>
  <c r="W25" i="2"/>
  <c r="AK24" i="2"/>
  <c r="AI24" i="2"/>
  <c r="Q24" i="2"/>
  <c r="O24" i="2"/>
  <c r="AK23" i="2"/>
  <c r="AI23" i="2"/>
  <c r="AK22" i="2"/>
  <c r="AI22" i="2"/>
  <c r="E22" i="2"/>
  <c r="C22" i="2" s="1"/>
  <c r="AK21" i="2"/>
  <c r="AI21" i="2"/>
  <c r="O21" i="2"/>
  <c r="AK20" i="2"/>
  <c r="AI20" i="2"/>
  <c r="O20" i="2"/>
  <c r="AK19" i="2"/>
  <c r="AI19" i="2"/>
  <c r="O19" i="2"/>
  <c r="K19" i="2"/>
  <c r="AK18" i="2"/>
  <c r="AI18" i="2"/>
  <c r="E18" i="2"/>
  <c r="C18" i="2"/>
  <c r="AK17" i="2"/>
  <c r="AI17" i="2"/>
  <c r="E17" i="2"/>
  <c r="C17" i="2" s="1"/>
  <c r="AK16" i="2"/>
  <c r="AI16" i="2"/>
  <c r="AK15" i="2"/>
  <c r="AI15" i="2"/>
  <c r="AK14" i="2"/>
  <c r="AI14" i="2"/>
  <c r="E14" i="2"/>
  <c r="C14" i="2"/>
  <c r="AK13" i="2"/>
  <c r="AI13" i="2"/>
  <c r="G13" i="2"/>
  <c r="AK12" i="2"/>
  <c r="AI12" i="2"/>
  <c r="I12" i="2"/>
  <c r="AK11" i="2"/>
  <c r="AI11" i="2"/>
  <c r="E11" i="2"/>
  <c r="C11" i="2"/>
  <c r="AK10" i="2"/>
  <c r="AI10" i="2"/>
  <c r="AK9" i="2"/>
  <c r="AI9" i="2"/>
  <c r="AK8" i="2"/>
  <c r="AI8" i="2"/>
  <c r="O8" i="2"/>
  <c r="K8" i="2"/>
  <c r="I8" i="2"/>
  <c r="AK7" i="2"/>
  <c r="AI7" i="2"/>
  <c r="K7" i="2"/>
  <c r="I7" i="2"/>
  <c r="G7" i="2"/>
  <c r="AK6" i="2"/>
  <c r="AI6" i="2"/>
  <c r="AC6" i="2"/>
  <c r="AA6" i="2"/>
  <c r="S6" i="2"/>
  <c r="Q6" i="2"/>
  <c r="K6" i="2"/>
  <c r="AK5" i="2"/>
  <c r="AI5" i="2"/>
  <c r="I5" i="2"/>
  <c r="G5" i="2"/>
  <c r="AK4" i="2"/>
  <c r="AI4" i="2"/>
  <c r="E4" i="2"/>
  <c r="C4" i="2"/>
  <c r="AK3" i="2"/>
  <c r="AI3" i="2"/>
  <c r="AK2" i="2"/>
  <c r="AI2" i="2"/>
  <c r="E2" i="2"/>
  <c r="C2" i="2"/>
  <c r="G1" i="2"/>
  <c r="F87" i="69" a="1"/>
  <c r="F87" i="69"/>
  <c r="F84" i="69" a="1"/>
  <c r="F84" i="69"/>
  <c r="E76" i="69"/>
  <c r="E77" i="69" s="1"/>
  <c r="F77" i="69" s="1" a="1"/>
  <c r="F77" i="69" s="1"/>
  <c r="E54" i="69" a="1"/>
  <c r="E54" i="69"/>
  <c r="G51" i="69"/>
  <c r="I47" i="69" s="1"/>
  <c r="AW50" i="69"/>
  <c r="AU50" i="69"/>
  <c r="AS50" i="69"/>
  <c r="AQ50" i="69"/>
  <c r="AK50" i="69"/>
  <c r="J50" i="69"/>
  <c r="G50" i="69"/>
  <c r="AW49" i="69"/>
  <c r="AU49" i="69"/>
  <c r="AS49" i="69"/>
  <c r="AQ49" i="69"/>
  <c r="AK49" i="69"/>
  <c r="AW48" i="69"/>
  <c r="AU48" i="69"/>
  <c r="AS48" i="69"/>
  <c r="AQ48" i="69"/>
  <c r="AK48" i="69"/>
  <c r="AW47" i="69"/>
  <c r="AU47" i="69"/>
  <c r="AS47" i="69"/>
  <c r="AQ47" i="69"/>
  <c r="AK47" i="69"/>
  <c r="J47" i="69"/>
  <c r="AW46" i="69"/>
  <c r="AU46" i="69"/>
  <c r="AS46" i="69"/>
  <c r="AQ46" i="69"/>
  <c r="AK46" i="69"/>
  <c r="J46" i="69"/>
  <c r="I46" i="69"/>
  <c r="M21" i="69" s="1"/>
  <c r="H46" i="69"/>
  <c r="H50" i="69" s="1"/>
  <c r="D46" i="69"/>
  <c r="E46" i="69" s="1" a="1"/>
  <c r="E46" i="69" s="1"/>
  <c r="AW45" i="69"/>
  <c r="AU45" i="69"/>
  <c r="AS45" i="69"/>
  <c r="AQ45" i="69"/>
  <c r="AK45" i="69"/>
  <c r="I45" i="69"/>
  <c r="H45" i="69"/>
  <c r="H49" i="69" s="1"/>
  <c r="G45" i="69"/>
  <c r="G46" i="69" s="1"/>
  <c r="AW44" i="69"/>
  <c r="AU44" i="69"/>
  <c r="AS44" i="69"/>
  <c r="AQ44" i="69"/>
  <c r="AK44" i="69"/>
  <c r="J44" i="69"/>
  <c r="J48" i="69" s="1"/>
  <c r="H44" i="69"/>
  <c r="H48" i="69" s="1"/>
  <c r="G44" i="69"/>
  <c r="G48" i="69" s="1"/>
  <c r="E44" i="69" a="1"/>
  <c r="E44" i="69" s="1"/>
  <c r="AW43" i="69"/>
  <c r="AU43" i="69"/>
  <c r="AS43" i="69"/>
  <c r="AQ43" i="69"/>
  <c r="AK43" i="69"/>
  <c r="AW42" i="69"/>
  <c r="AU42" i="69"/>
  <c r="AS42" i="69"/>
  <c r="AQ42" i="69"/>
  <c r="AK42" i="69"/>
  <c r="AW41" i="69"/>
  <c r="AU41" i="69"/>
  <c r="AS41" i="69"/>
  <c r="AQ41" i="69"/>
  <c r="AK41" i="69"/>
  <c r="AW40" i="69"/>
  <c r="AU40" i="69"/>
  <c r="AS40" i="69"/>
  <c r="AQ40" i="69"/>
  <c r="AK40" i="69"/>
  <c r="AW39" i="69"/>
  <c r="AU39" i="69"/>
  <c r="AS39" i="69"/>
  <c r="AQ39" i="69"/>
  <c r="AK39" i="69"/>
  <c r="AW38" i="69"/>
  <c r="AU38" i="69"/>
  <c r="AS38" i="69"/>
  <c r="AQ38" i="69"/>
  <c r="AK38" i="69"/>
  <c r="AW37" i="69"/>
  <c r="AU37" i="69"/>
  <c r="AS37" i="69"/>
  <c r="AQ37" i="69"/>
  <c r="AK37" i="69"/>
  <c r="AW36" i="69"/>
  <c r="AU36" i="69"/>
  <c r="AS36" i="69"/>
  <c r="AQ36" i="69"/>
  <c r="AK36" i="69"/>
  <c r="AW35" i="69"/>
  <c r="AU35" i="69"/>
  <c r="AS35" i="69"/>
  <c r="AQ35" i="69"/>
  <c r="AK35" i="69"/>
  <c r="E35" i="69"/>
  <c r="C35" i="69" s="1"/>
  <c r="AW34" i="69"/>
  <c r="AU34" i="69"/>
  <c r="AS34" i="69"/>
  <c r="AQ34" i="69"/>
  <c r="AK34" i="69"/>
  <c r="AW33" i="69"/>
  <c r="AU33" i="69"/>
  <c r="AS33" i="69"/>
  <c r="AQ33" i="69"/>
  <c r="AK33" i="69"/>
  <c r="E33" i="69"/>
  <c r="C33" i="69" s="1"/>
  <c r="AW32" i="69"/>
  <c r="AU32" i="69"/>
  <c r="AS32" i="69"/>
  <c r="AQ32" i="69"/>
  <c r="AK32" i="69"/>
  <c r="AW31" i="69"/>
  <c r="AU31" i="69"/>
  <c r="AS31" i="69"/>
  <c r="AQ31" i="69"/>
  <c r="AK31" i="69"/>
  <c r="E31" i="69"/>
  <c r="C31" i="69"/>
  <c r="AW30" i="69"/>
  <c r="AU30" i="69"/>
  <c r="AS30" i="69"/>
  <c r="AQ30" i="69"/>
  <c r="AK30" i="69"/>
  <c r="E30" i="69"/>
  <c r="C30" i="69"/>
  <c r="AW29" i="69"/>
  <c r="AU29" i="69"/>
  <c r="AS29" i="69"/>
  <c r="AQ29" i="69"/>
  <c r="AK29" i="69"/>
  <c r="I29" i="69"/>
  <c r="G29" i="69"/>
  <c r="AW28" i="69"/>
  <c r="AU28" i="69"/>
  <c r="AS28" i="69"/>
  <c r="AQ28" i="69"/>
  <c r="AK28" i="69"/>
  <c r="K28" i="69"/>
  <c r="I28" i="69"/>
  <c r="AW27" i="69"/>
  <c r="AU27" i="69"/>
  <c r="AS27" i="69"/>
  <c r="AQ27" i="69"/>
  <c r="AK27" i="69"/>
  <c r="K27" i="69"/>
  <c r="G27" i="69"/>
  <c r="AW26" i="69"/>
  <c r="AU26" i="69"/>
  <c r="AS26" i="69"/>
  <c r="AQ26" i="69"/>
  <c r="AK26" i="69"/>
  <c r="I26" i="69"/>
  <c r="AW25" i="69"/>
  <c r="AU25" i="69"/>
  <c r="AS25" i="69"/>
  <c r="AQ25" i="69"/>
  <c r="AK25" i="69"/>
  <c r="AW24" i="69"/>
  <c r="AU24" i="69"/>
  <c r="AS24" i="69"/>
  <c r="AQ24" i="69"/>
  <c r="AK24" i="69"/>
  <c r="Q24" i="69"/>
  <c r="O24" i="69"/>
  <c r="AW23" i="69"/>
  <c r="AU23" i="69"/>
  <c r="AS23" i="69"/>
  <c r="AQ23" i="69"/>
  <c r="AK23" i="69"/>
  <c r="AW22" i="69"/>
  <c r="AU22" i="69"/>
  <c r="AS22" i="69"/>
  <c r="AQ22" i="69"/>
  <c r="AK22" i="69"/>
  <c r="E22" i="69"/>
  <c r="C22" i="69"/>
  <c r="AW21" i="69"/>
  <c r="AU21" i="69"/>
  <c r="AS21" i="69"/>
  <c r="AQ21" i="69"/>
  <c r="AK21" i="69"/>
  <c r="K21" i="69"/>
  <c r="I21" i="69"/>
  <c r="AW20" i="69"/>
  <c r="AU20" i="69"/>
  <c r="AS20" i="69"/>
  <c r="AQ20" i="69"/>
  <c r="AK20" i="69"/>
  <c r="I20" i="69"/>
  <c r="AW19" i="69"/>
  <c r="AU19" i="69"/>
  <c r="AS19" i="69"/>
  <c r="AQ19" i="69"/>
  <c r="AK19" i="69"/>
  <c r="AW18" i="69"/>
  <c r="AU18" i="69"/>
  <c r="AS18" i="69"/>
  <c r="AQ18" i="69"/>
  <c r="AK18" i="69"/>
  <c r="E18" i="69"/>
  <c r="C18" i="69"/>
  <c r="AW17" i="69"/>
  <c r="AU17" i="69"/>
  <c r="AS17" i="69"/>
  <c r="AQ17" i="69"/>
  <c r="AK17" i="69"/>
  <c r="AW16" i="69"/>
  <c r="AU16" i="69"/>
  <c r="AS16" i="69"/>
  <c r="AQ16" i="69"/>
  <c r="AK16" i="69"/>
  <c r="AW15" i="69"/>
  <c r="AU15" i="69"/>
  <c r="AS15" i="69"/>
  <c r="AQ15" i="69"/>
  <c r="AK15" i="69"/>
  <c r="AW14" i="69"/>
  <c r="AU14" i="69"/>
  <c r="AS14" i="69"/>
  <c r="AQ14" i="69"/>
  <c r="AK14" i="69"/>
  <c r="E14" i="69"/>
  <c r="C14" i="69"/>
  <c r="AW13" i="69"/>
  <c r="AU13" i="69"/>
  <c r="AS13" i="69"/>
  <c r="AQ13" i="69"/>
  <c r="AK13" i="69"/>
  <c r="AW12" i="69"/>
  <c r="AU12" i="69"/>
  <c r="AS12" i="69"/>
  <c r="AQ12" i="69"/>
  <c r="AK12" i="69"/>
  <c r="I12" i="69"/>
  <c r="O19" i="69" s="1"/>
  <c r="O20" i="69" s="1"/>
  <c r="O21" i="69" s="1"/>
  <c r="G12" i="69"/>
  <c r="G23" i="69" s="1"/>
  <c r="AW11" i="69"/>
  <c r="AU11" i="69"/>
  <c r="AS11" i="69"/>
  <c r="AQ11" i="69"/>
  <c r="AK11" i="69"/>
  <c r="E11" i="69"/>
  <c r="C11" i="69"/>
  <c r="AW10" i="69"/>
  <c r="AU10" i="69"/>
  <c r="AS10" i="69"/>
  <c r="AQ10" i="69"/>
  <c r="AK10" i="69"/>
  <c r="AW9" i="69"/>
  <c r="AU9" i="69"/>
  <c r="AS9" i="69"/>
  <c r="AQ9" i="69"/>
  <c r="AK9" i="69"/>
  <c r="AW8" i="69"/>
  <c r="AU8" i="69"/>
  <c r="AS8" i="69"/>
  <c r="AQ8" i="69"/>
  <c r="AK8" i="69"/>
  <c r="O8" i="69"/>
  <c r="K8" i="69"/>
  <c r="I8" i="69"/>
  <c r="AW7" i="69"/>
  <c r="AU7" i="69"/>
  <c r="AS7" i="69"/>
  <c r="AQ7" i="69"/>
  <c r="AK7" i="69"/>
  <c r="K7" i="69"/>
  <c r="I7" i="69"/>
  <c r="G7" i="69"/>
  <c r="AW6" i="69"/>
  <c r="AU6" i="69"/>
  <c r="AS6" i="69"/>
  <c r="AQ6" i="69"/>
  <c r="AK6" i="69"/>
  <c r="AC6" i="69"/>
  <c r="AA6" i="69"/>
  <c r="S6" i="69"/>
  <c r="Q6" i="69"/>
  <c r="I6" i="69"/>
  <c r="AW5" i="69"/>
  <c r="AU5" i="69"/>
  <c r="AS5" i="69"/>
  <c r="AQ5" i="69"/>
  <c r="AK5" i="69"/>
  <c r="I5" i="69"/>
  <c r="G5" i="69"/>
  <c r="E5" i="69"/>
  <c r="C5" i="69" s="1"/>
  <c r="AW4" i="69"/>
  <c r="AU4" i="69"/>
  <c r="AS4" i="69"/>
  <c r="AQ4" i="69"/>
  <c r="AK4" i="69"/>
  <c r="E4" i="69"/>
  <c r="C4" i="69" s="1"/>
  <c r="AW3" i="69"/>
  <c r="AU3" i="69"/>
  <c r="AS3" i="69"/>
  <c r="AQ3" i="69"/>
  <c r="AK3" i="69"/>
  <c r="E3" i="69"/>
  <c r="AW2" i="69"/>
  <c r="AU2" i="69"/>
  <c r="AS2" i="69"/>
  <c r="AQ2" i="69"/>
  <c r="AK2" i="69"/>
  <c r="E2" i="69"/>
  <c r="G1" i="69"/>
  <c r="AG4" i="1"/>
  <c r="AE4" i="1"/>
  <c r="AC4" i="1"/>
  <c r="AA4" i="1"/>
  <c r="Y4" i="1"/>
  <c r="W4" i="1"/>
  <c r="E4" i="1"/>
  <c r="C4" i="1" s="1"/>
  <c r="AG3" i="1"/>
  <c r="AE3" i="1"/>
  <c r="AC3" i="1"/>
  <c r="AA3" i="1"/>
  <c r="Y3" i="1"/>
  <c r="W3" i="1"/>
  <c r="AG2" i="1"/>
  <c r="AE2" i="1"/>
  <c r="AC2" i="1"/>
  <c r="AA2" i="1"/>
  <c r="Y2" i="1"/>
  <c r="W2" i="1"/>
  <c r="G1" i="1"/>
  <c r="O4" i="68" l="1"/>
  <c r="C4" i="67"/>
  <c r="E28" i="69"/>
  <c r="C28" i="69" s="1"/>
  <c r="E27" i="4"/>
  <c r="C27" i="4" s="1"/>
  <c r="E6" i="3"/>
  <c r="C6" i="3" s="1"/>
  <c r="E26" i="4"/>
  <c r="C26" i="4" s="1"/>
  <c r="E27" i="69"/>
  <c r="C27" i="69" s="1"/>
  <c r="E26" i="3"/>
  <c r="C26" i="3" s="1"/>
  <c r="E28" i="4"/>
  <c r="C28" i="4" s="1"/>
  <c r="E8" i="69"/>
  <c r="C8" i="69" s="1"/>
  <c r="E24" i="4"/>
  <c r="C24" i="4" s="1"/>
  <c r="E7" i="2"/>
  <c r="C7" i="2" s="1"/>
  <c r="E38" i="3"/>
  <c r="C38" i="3" s="1"/>
  <c r="D47" i="69"/>
  <c r="E47" i="69" s="1" a="1"/>
  <c r="E47" i="69" s="1"/>
  <c r="F76" i="69" a="1"/>
  <c r="F76" i="69" s="1"/>
  <c r="E29" i="69"/>
  <c r="C29" i="69" s="1"/>
  <c r="E27" i="3"/>
  <c r="C27" i="3" s="1"/>
  <c r="E57" i="4" a="1"/>
  <c r="E57" i="4" s="1"/>
  <c r="D58" i="4"/>
  <c r="F78" i="3" a="1"/>
  <c r="F78" i="3" s="1"/>
  <c r="E79" i="3"/>
  <c r="F79" i="3" s="1" a="1"/>
  <c r="F79" i="3" s="1"/>
  <c r="D46" i="4"/>
  <c r="E7" i="69"/>
  <c r="C7" i="69" s="1"/>
  <c r="E8" i="2"/>
  <c r="C8" i="2" s="1"/>
  <c r="E28" i="2"/>
  <c r="C28" i="2" s="1"/>
  <c r="E78" i="69"/>
  <c r="F78" i="69" s="1" a="1"/>
  <c r="F78" i="69" s="1"/>
  <c r="E24" i="2"/>
  <c r="C24" i="2" s="1"/>
  <c r="E12" i="69"/>
  <c r="C12" i="69" s="1"/>
  <c r="E39" i="3"/>
  <c r="C39" i="3" s="1"/>
  <c r="E56" i="4" a="1"/>
  <c r="E56" i="4" s="1"/>
  <c r="E24" i="69"/>
  <c r="C24" i="69" s="1"/>
  <c r="E29" i="2"/>
  <c r="C29" i="2" s="1"/>
  <c r="E28" i="3"/>
  <c r="C28" i="3" s="1"/>
  <c r="F77" i="3" a="1"/>
  <c r="F77" i="3" s="1"/>
  <c r="E27" i="2"/>
  <c r="C27" i="2" s="1"/>
  <c r="E8" i="4"/>
  <c r="C8" i="4" s="1"/>
  <c r="E12" i="2"/>
  <c r="C12" i="2" s="1"/>
  <c r="K4" i="64"/>
  <c r="E7" i="3"/>
  <c r="C7" i="3" s="1"/>
  <c r="G47" i="3"/>
  <c r="G45" i="4"/>
  <c r="G5" i="4"/>
  <c r="E5" i="2"/>
  <c r="C5" i="2" s="1"/>
  <c r="O41" i="2"/>
  <c r="I23" i="2"/>
  <c r="G6" i="2"/>
  <c r="I49" i="69"/>
  <c r="M20" i="69"/>
  <c r="I49" i="3"/>
  <c r="K5" i="3"/>
  <c r="E7" i="4"/>
  <c r="C7" i="4" s="1"/>
  <c r="J51" i="69"/>
  <c r="K19" i="69"/>
  <c r="H59" i="2"/>
  <c r="J57" i="2"/>
  <c r="J61" i="2" s="1"/>
  <c r="K20" i="2" s="1"/>
  <c r="J59" i="2"/>
  <c r="J63" i="2" s="1"/>
  <c r="E22" i="3"/>
  <c r="C22" i="3" s="1"/>
  <c r="I49" i="4"/>
  <c r="M21" i="4"/>
  <c r="E4" i="3"/>
  <c r="C4" i="3" s="1"/>
  <c r="G5" i="3"/>
  <c r="D48" i="3"/>
  <c r="G25" i="4"/>
  <c r="H47" i="69"/>
  <c r="J45" i="69"/>
  <c r="H46" i="4"/>
  <c r="J44" i="4"/>
  <c r="J46" i="4"/>
  <c r="G25" i="69"/>
  <c r="E23" i="69"/>
  <c r="C23" i="69" s="1"/>
  <c r="I51" i="69"/>
  <c r="M19" i="69"/>
  <c r="I23" i="69"/>
  <c r="O39" i="69"/>
  <c r="G6" i="69"/>
  <c r="G23" i="2"/>
  <c r="J50" i="3"/>
  <c r="K19" i="3"/>
  <c r="I57" i="2"/>
  <c r="I61" i="2" s="1"/>
  <c r="M20" i="2" s="1"/>
  <c r="E12" i="4"/>
  <c r="C12" i="4" s="1"/>
  <c r="G13" i="4"/>
  <c r="I50" i="69"/>
  <c r="I6" i="2"/>
  <c r="G14" i="3"/>
  <c r="I48" i="3"/>
  <c r="Q4" i="64"/>
  <c r="G13" i="69"/>
  <c r="I56" i="2"/>
  <c r="I60" i="2" s="1"/>
  <c r="M19" i="2" s="1"/>
  <c r="I46" i="3"/>
  <c r="J48" i="3"/>
  <c r="M19" i="4"/>
  <c r="G4" i="68"/>
  <c r="R37" i="3"/>
  <c r="E37" i="3" s="1"/>
  <c r="C37" i="3" s="1"/>
  <c r="I43" i="4"/>
  <c r="I44" i="69"/>
  <c r="G4" i="65"/>
  <c r="C4" i="65" s="1"/>
  <c r="C4" i="68" l="1"/>
  <c r="D48" i="69"/>
  <c r="D49" i="69" s="1"/>
  <c r="E79" i="69"/>
  <c r="E80" i="69" s="1"/>
  <c r="E46" i="4" a="1"/>
  <c r="E46" i="4" s="1"/>
  <c r="D47" i="4"/>
  <c r="E58" i="4" a="1"/>
  <c r="E58" i="4" s="1"/>
  <c r="D59" i="4"/>
  <c r="E80" i="3"/>
  <c r="F80" i="3" s="1" a="1"/>
  <c r="F80" i="3" s="1"/>
  <c r="G25" i="3"/>
  <c r="E25" i="3" s="1"/>
  <c r="C25" i="3" s="1"/>
  <c r="G23" i="3"/>
  <c r="E23" i="3" s="1"/>
  <c r="C23" i="3" s="1"/>
  <c r="G16" i="3"/>
  <c r="J49" i="69"/>
  <c r="K20" i="69"/>
  <c r="H63" i="2"/>
  <c r="I19" i="2"/>
  <c r="E25" i="69"/>
  <c r="C25" i="69" s="1"/>
  <c r="G32" i="69"/>
  <c r="H51" i="69"/>
  <c r="O38" i="69"/>
  <c r="I19" i="69"/>
  <c r="I23" i="4"/>
  <c r="O38" i="4"/>
  <c r="O37" i="4"/>
  <c r="E5" i="4"/>
  <c r="C5" i="4" s="1"/>
  <c r="G6" i="4"/>
  <c r="O40" i="2"/>
  <c r="J52" i="3"/>
  <c r="K18" i="3"/>
  <c r="E23" i="2"/>
  <c r="C23" i="2" s="1"/>
  <c r="G25" i="2"/>
  <c r="M19" i="3"/>
  <c r="I50" i="3"/>
  <c r="E25" i="4"/>
  <c r="C25" i="4" s="1"/>
  <c r="G31" i="4"/>
  <c r="I48" i="69"/>
  <c r="K6" i="69"/>
  <c r="K20" i="4"/>
  <c r="J48" i="4"/>
  <c r="D49" i="3"/>
  <c r="E48" i="3" a="1"/>
  <c r="E48" i="3" s="1"/>
  <c r="G15" i="4"/>
  <c r="G19" i="69"/>
  <c r="E6" i="69"/>
  <c r="C6" i="69" s="1"/>
  <c r="K19" i="4"/>
  <c r="J50" i="4"/>
  <c r="K6" i="4"/>
  <c r="I47" i="4"/>
  <c r="G15" i="69"/>
  <c r="I38" i="69"/>
  <c r="E38" i="69" s="1"/>
  <c r="C38" i="69" s="1"/>
  <c r="I15" i="69"/>
  <c r="I13" i="69"/>
  <c r="E13" i="69" s="1"/>
  <c r="C13" i="69" s="1"/>
  <c r="I39" i="69"/>
  <c r="E39" i="69" s="1"/>
  <c r="C39" i="69" s="1"/>
  <c r="H50" i="4"/>
  <c r="I19" i="4"/>
  <c r="G18" i="3"/>
  <c r="E5" i="3"/>
  <c r="C5" i="3" s="1"/>
  <c r="I12" i="3"/>
  <c r="I21" i="3"/>
  <c r="G19" i="2"/>
  <c r="E6" i="2"/>
  <c r="C6" i="2" s="1"/>
  <c r="E4" i="64"/>
  <c r="C4" i="64" s="1"/>
  <c r="I25" i="2"/>
  <c r="I40" i="2"/>
  <c r="E40" i="2" s="1"/>
  <c r="C40" i="2" s="1"/>
  <c r="I15" i="2"/>
  <c r="E15" i="2" s="1"/>
  <c r="C15" i="2" s="1"/>
  <c r="I13" i="2"/>
  <c r="E13" i="2" s="1"/>
  <c r="C13" i="2" s="1"/>
  <c r="I41" i="2"/>
  <c r="E41" i="2" s="1"/>
  <c r="C41" i="2" s="1"/>
  <c r="M18" i="3"/>
  <c r="I52" i="3"/>
  <c r="E81" i="3" l="1"/>
  <c r="F81" i="3" s="1" a="1"/>
  <c r="F81" i="3" s="1"/>
  <c r="E48" i="69" a="1"/>
  <c r="E48" i="69" s="1"/>
  <c r="F79" i="69" a="1"/>
  <c r="F79" i="69" s="1"/>
  <c r="D60" i="4"/>
  <c r="E59" i="4" a="1"/>
  <c r="E59" i="4" s="1"/>
  <c r="D48" i="4"/>
  <c r="E47" i="4" a="1"/>
  <c r="E47" i="4" s="1"/>
  <c r="G17" i="4"/>
  <c r="E17" i="4" s="1"/>
  <c r="C17" i="4" s="1"/>
  <c r="I15" i="4"/>
  <c r="E15" i="4" s="1"/>
  <c r="C15" i="4" s="1"/>
  <c r="I37" i="4"/>
  <c r="E37" i="4" s="1"/>
  <c r="C37" i="4" s="1"/>
  <c r="I13" i="4"/>
  <c r="E13" i="4" s="1"/>
  <c r="C13" i="4" s="1"/>
  <c r="I38" i="4"/>
  <c r="E38" i="4" s="1"/>
  <c r="C38" i="4" s="1"/>
  <c r="E23" i="4"/>
  <c r="C23" i="4" s="1"/>
  <c r="G20" i="2"/>
  <c r="E19" i="2"/>
  <c r="C19" i="2" s="1"/>
  <c r="D50" i="3"/>
  <c r="E49" i="3" a="1"/>
  <c r="E49" i="3" s="1"/>
  <c r="G31" i="3"/>
  <c r="G21" i="3"/>
  <c r="E21" i="3" s="1"/>
  <c r="C21" i="3" s="1"/>
  <c r="E16" i="3"/>
  <c r="C16" i="3" s="1"/>
  <c r="E81" i="69"/>
  <c r="F80" i="69" a="1"/>
  <c r="F80" i="69" s="1"/>
  <c r="E12" i="3"/>
  <c r="C12" i="3" s="1"/>
  <c r="I14" i="3"/>
  <c r="E14" i="3" s="1"/>
  <c r="C14" i="3" s="1"/>
  <c r="D50" i="69"/>
  <c r="E49" i="69" a="1"/>
  <c r="E49" i="69" s="1"/>
  <c r="E32" i="69"/>
  <c r="C32" i="69" s="1"/>
  <c r="G34" i="69"/>
  <c r="E25" i="2"/>
  <c r="C25" i="2" s="1"/>
  <c r="G19" i="3"/>
  <c r="E18" i="3"/>
  <c r="C18" i="3" s="1"/>
  <c r="E15" i="69"/>
  <c r="C15" i="69" s="1"/>
  <c r="G17" i="69"/>
  <c r="E17" i="69" s="1"/>
  <c r="C17" i="69" s="1"/>
  <c r="G26" i="69"/>
  <c r="G20" i="69"/>
  <c r="E19" i="69"/>
  <c r="C19" i="69" s="1"/>
  <c r="G19" i="4"/>
  <c r="E6" i="4"/>
  <c r="C6" i="4" s="1"/>
  <c r="E31" i="4"/>
  <c r="C31" i="4" s="1"/>
  <c r="G33" i="4"/>
  <c r="E82" i="3" l="1"/>
  <c r="E83" i="3" s="1"/>
  <c r="F83" i="3" s="1" a="1"/>
  <c r="F83" i="3" s="1"/>
  <c r="E48" i="4" a="1"/>
  <c r="E48" i="4" s="1"/>
  <c r="D49" i="4"/>
  <c r="D61" i="4"/>
  <c r="E60" i="4" a="1"/>
  <c r="E60" i="4" s="1"/>
  <c r="E50" i="69" a="1"/>
  <c r="E50" i="69" s="1"/>
  <c r="D51" i="69"/>
  <c r="G20" i="3"/>
  <c r="E20" i="3" s="1"/>
  <c r="C20" i="3" s="1"/>
  <c r="E19" i="3"/>
  <c r="C19" i="3" s="1"/>
  <c r="G24" i="3"/>
  <c r="D51" i="3"/>
  <c r="E50" i="3" a="1"/>
  <c r="E50" i="3" s="1"/>
  <c r="G33" i="3"/>
  <c r="E31" i="3"/>
  <c r="C31" i="3" s="1"/>
  <c r="G20" i="4"/>
  <c r="E19" i="4"/>
  <c r="C19" i="4" s="1"/>
  <c r="E82" i="69"/>
  <c r="F82" i="69" s="1" a="1"/>
  <c r="F82" i="69" s="1"/>
  <c r="F81" i="69" a="1"/>
  <c r="F81" i="69" s="1"/>
  <c r="G35" i="4"/>
  <c r="E35" i="4" s="1"/>
  <c r="C35" i="4" s="1"/>
  <c r="E33" i="4"/>
  <c r="C33" i="4" s="1"/>
  <c r="E20" i="69"/>
  <c r="C20" i="69" s="1"/>
  <c r="G21" i="69"/>
  <c r="E21" i="69" s="1"/>
  <c r="C21" i="69" s="1"/>
  <c r="E26" i="69"/>
  <c r="C26" i="69"/>
  <c r="G36" i="69"/>
  <c r="E36" i="69" s="1"/>
  <c r="C36" i="69" s="1"/>
  <c r="E34" i="69"/>
  <c r="C34" i="69" s="1"/>
  <c r="E20" i="2"/>
  <c r="C20" i="2" s="1"/>
  <c r="G21" i="2"/>
  <c r="E21" i="2" s="1"/>
  <c r="C21" i="2" s="1"/>
  <c r="F82" i="3" l="1" a="1"/>
  <c r="F82" i="3" s="1"/>
  <c r="G36" i="3" s="1"/>
  <c r="E36" i="3" s="1"/>
  <c r="C36" i="3" s="1"/>
  <c r="G37" i="69"/>
  <c r="E37" i="69" s="1"/>
  <c r="C37" i="69" s="1"/>
  <c r="D62" i="4"/>
  <c r="E61" i="4" a="1"/>
  <c r="E61" i="4" s="1"/>
  <c r="E49" i="4" a="1"/>
  <c r="E49" i="4" s="1"/>
  <c r="D50" i="4"/>
  <c r="G21" i="4"/>
  <c r="E21" i="4" s="1"/>
  <c r="C21" i="4" s="1"/>
  <c r="E20" i="4"/>
  <c r="C20" i="4" s="1"/>
  <c r="D52" i="3"/>
  <c r="E51" i="3" a="1"/>
  <c r="E51" i="3" s="1"/>
  <c r="E24" i="3"/>
  <c r="C24" i="3"/>
  <c r="G35" i="3"/>
  <c r="E35" i="3" s="1"/>
  <c r="C35" i="3" s="1"/>
  <c r="E33" i="3"/>
  <c r="C33" i="3" s="1"/>
  <c r="D52" i="69"/>
  <c r="E52" i="69" s="1" a="1"/>
  <c r="E52" i="69" s="1"/>
  <c r="E51" i="69" a="1"/>
  <c r="E51" i="69" s="1"/>
  <c r="D51" i="4" l="1"/>
  <c r="E51" i="4" s="1" a="1"/>
  <c r="E51" i="4" s="1"/>
  <c r="E50" i="4" a="1"/>
  <c r="E50" i="4" s="1"/>
  <c r="D63" i="4"/>
  <c r="E62" i="4" a="1"/>
  <c r="E62" i="4" s="1"/>
  <c r="G36" i="4" s="1"/>
  <c r="E36" i="4" s="1"/>
  <c r="C36" i="4" s="1"/>
  <c r="D53" i="3"/>
  <c r="E53" i="3" s="1" a="1"/>
  <c r="E53" i="3" s="1"/>
  <c r="E52" i="3" a="1"/>
  <c r="E52" i="3" s="1"/>
  <c r="E63" i="4" l="1" a="1"/>
  <c r="E63" i="4" s="1"/>
  <c r="D64" i="4"/>
  <c r="D65" i="4" l="1"/>
  <c r="E64" i="4" a="1"/>
  <c r="E64" i="4" s="1"/>
  <c r="E65" i="4" l="1" a="1"/>
  <c r="E65" i="4" s="1"/>
  <c r="D66" i="4"/>
  <c r="E66" i="4" l="1" a="1"/>
  <c r="E66" i="4" s="1"/>
  <c r="D67" i="4"/>
  <c r="E67" i="4" s="1" a="1"/>
  <c r="E6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9" authorId="0" shapeId="0" xr:uid="{277A385E-6120-46B7-B0DF-F696B4BC0845}">
      <text>
        <r>
          <rPr>
            <sz val="9"/>
            <color indexed="81"/>
            <rFont val="Tahoma"/>
            <family val="2"/>
          </rPr>
          <t xml:space="preserve">Author:
temporär gelöscht wegen fehelr auf test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8" authorId="0" shapeId="0" xr:uid="{00000000-0006-0000-0100-000001000000}">
      <text>
        <r>
          <rPr>
            <sz val="9"/>
            <color indexed="81"/>
            <rFont val="Tahoma"/>
            <family val="2"/>
          </rPr>
          <t>Author:
Dossierverwaltung muss angeklickt werden</t>
        </r>
      </text>
    </comment>
    <comment ref="A30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Author:
kurzfristig gelöscht da fehler auf test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8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Author:
temporär gelöscht wegen fehelr auf test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8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Author:
temporär gelöscht wegen fehelr auf test
</t>
        </r>
      </text>
    </comment>
  </commentList>
</comments>
</file>

<file path=xl/sharedStrings.xml><?xml version="1.0" encoding="utf-8"?>
<sst xmlns="http://schemas.openxmlformats.org/spreadsheetml/2006/main" count="1773" uniqueCount="399">
  <si>
    <t>StepNumber</t>
  </si>
  <si>
    <t>Action</t>
  </si>
  <si>
    <t>TestData</t>
  </si>
  <si>
    <t>Screenshot</t>
  </si>
  <si>
    <t>video</t>
  </si>
  <si>
    <t>Testresult</t>
  </si>
  <si>
    <t>09.12.2024 10:35:06</t>
  </si>
  <si>
    <t>09.12.2024 11:14:33</t>
  </si>
  <si>
    <t>Hoch</t>
  </si>
  <si>
    <t>Run Time Step (ms) 26.06.2025 18:59:32</t>
  </si>
  <si>
    <t>Run Time Step (ms) 26.06.2025 19:56:24</t>
  </si>
  <si>
    <t>Run Time Step (ms) 26.06.2025 20:17:23</t>
  </si>
  <si>
    <t>Run Time Step (ms) 26.06.2025 23:17:01</t>
  </si>
  <si>
    <t>Run Time Step (ms) 27.06.2025 10:30:47</t>
  </si>
  <si>
    <t>Message 27.06.2025 10:30:47</t>
  </si>
  <si>
    <t>Run Time Step (ms) 30.06.2025 14:38:55</t>
  </si>
  <si>
    <t>Message 30.06.2025 14:38:55</t>
  </si>
  <si>
    <t>Run Time Step (ms) 30.06.2025 19:22:09</t>
  </si>
  <si>
    <t>Run Time Step (ms) 30.06.2025 20:14:13</t>
  </si>
  <si>
    <t>Run Time Step (ms) 04.07.2025 23:23:59</t>
  </si>
  <si>
    <t>L00_URLAventis</t>
  </si>
  <si>
    <t>E01_Delay</t>
  </si>
  <si>
    <t>{"url":p.aventisURL}</t>
  </si>
  <si>
    <t>M01_LoginMSOnline</t>
  </si>
  <si>
    <t>{"username":"aventis-test-aml@diartis.ch","password":"E7Qr=3cTiz$8Q!","fullname":"Test AmtsleiterIn Aventis","team":"Superuser"}</t>
  </si>
  <si>
    <t>L05_Check_VersionNumber</t>
  </si>
  <si>
    <t>Yes</t>
  </si>
  <si>
    <t>{"username":"</t>
  </si>
  <si>
    <t>Bern.Sachbearbeiterin@diartis.ch</t>
  </si>
  <si>
    <t>","password":"</t>
  </si>
  <si>
    <t>XXxa22?pdTA66-S@</t>
  </si>
  <si>
    <t>","url":</t>
  </si>
  <si>
    <t>p.AventisURL</t>
  </si>
  <si>
    <t>,"version":"</t>
  </si>
  <si>
    <t>"}</t>
  </si>
  <si>
    <t>seriell</t>
  </si>
  <si>
    <t>Video</t>
  </si>
  <si>
    <t>{"url":"</t>
  </si>
  <si>
    <t>https://dev.aventis.swiss</t>
  </si>
  <si>
    <t>{"Pause":"3000"}</t>
  </si>
  <si>
    <t>X01_Delete_BrowserCache</t>
  </si>
  <si>
    <t>bern.sozialarbeiterin1a@diartis.ch</t>
  </si>
  <si>
    <t>SMze97-jkSJ59!F.</t>
  </si>
  <si>
    <t>","fullname":"</t>
  </si>
  <si>
    <t>Sozialarbeiterin 1A Bern</t>
  </si>
  <si>
    <t>","team":"</t>
  </si>
  <si>
    <t>Sozialarbeit Bern 1</t>
  </si>
  <si>
    <t>P01_Person_Search</t>
  </si>
  <si>
    <t>{"name":</t>
  </si>
  <si>
    <t>,"vorname":</t>
  </si>
  <si>
    <t>,"ahvNumber":""</t>
  </si>
  <si>
    <t>,"geburtsdatum":"</t>
  </si>
  <si>
    <t>B - Aufenthalterin / Aufenthalter</t>
  </si>
  <si>
    <t>P05_Person_Create_Manual_Complete</t>
  </si>
  <si>
    <t>,"ahvNumber":</t>
  </si>
  <si>
    <t>,"language":"</t>
  </si>
  <si>
    <t>Deutsch</t>
  </si>
  <si>
    <t>","zivilstand":"</t>
  </si>
  <si>
    <t>ledig</t>
  </si>
  <si>
    <t>","zivilStandSeit":"</t>
  </si>
  <si>
    <t>","geburtsdatum":"</t>
  </si>
  <si>
    <t>","national":"</t>
  </si>
  <si>
    <t>Frankreich</t>
  </si>
  <si>
    <t>","gender":"</t>
  </si>
  <si>
    <t>männlich</t>
  </si>
  <si>
    <t>","aufenthalt":"</t>
  </si>
  <si>
    <t>","aufGultigVon":"</t>
  </si>
  <si>
    <t>","aufGueltigBis":"</t>
  </si>
  <si>
    <t>P10_Person_Communikation_Complete</t>
  </si>
  <si>
    <t>{"mobile":"</t>
  </si>
  <si>
    <t>","privateNumber":"</t>
  </si>
  <si>
    <t>","email":"</t>
  </si>
  <si>
    <t>P15_Person_Adress</t>
  </si>
  <si>
    <t>{"zusatz":"</t>
  </si>
  <si>
    <t>","strasse":"</t>
  </si>
  <si>
    <t>","houseNumber":"</t>
  </si>
  <si>
    <t>","ort":"</t>
  </si>
  <si>
    <t>3053 Münchenbuchsee</t>
  </si>
  <si>
    <t>","validDate":"</t>
  </si>
  <si>
    <t>P20_Person_ZahlungsVerbindung</t>
  </si>
  <si>
    <t>{"iban":"CH21 0078 9100 0000 2920 0"}</t>
  </si>
  <si>
    <t>P30_Person_Uebernehmen</t>
  </si>
  <si>
    <t>H01_Haushalt_Uebernehmen_Zustaendigkeit</t>
  </si>
  <si>
    <t>{"zust_Gemeinde":"</t>
  </si>
  <si>
    <t>Münchenbuchsee</t>
  </si>
  <si>
    <t>","zust_SozTeam":"</t>
  </si>
  <si>
    <t>","zust_SozMitarbeiter":"</t>
  </si>
  <si>
    <t>Bern Sozialarbeiterin 1A</t>
  </si>
  <si>
    <t>","zust_SachbTeam":"</t>
  </si>
  <si>
    <t>Sachbearbeitung Bern</t>
  </si>
  <si>
    <t>","zust_SachbMitarbeiter":"</t>
  </si>
  <si>
    <t>Bern Sachbearbeiterin</t>
  </si>
  <si>
    <t>D01_Dossier_Eroeffnen</t>
  </si>
  <si>
    <t>{"dossierBezeichnung":</t>
  </si>
  <si>
    <t>,"eroeffnetAm":"</t>
  </si>
  <si>
    <t>","dossierSprache":"</t>
  </si>
  <si>
    <t>BW04_ZahlungsVerbindung_Freigeben</t>
  </si>
  <si>
    <t>{"dossierInstitution":</t>
  </si>
  <si>
    <t>,"klientschaft":`</t>
  </si>
  <si>
    <t>`,"buttonBewilligung":"</t>
  </si>
  <si>
    <t>Anfragen</t>
  </si>
  <si>
    <t>","checkStatus":"</t>
  </si>
  <si>
    <t>In Bearbeitung</t>
  </si>
  <si>
    <t>L03_LogoutAndLoginDiffAccount</t>
  </si>
  <si>
    <t>p.DossierName1</t>
  </si>
  <si>
    <t>Bewilligen</t>
  </si>
  <si>
    <t>Bewilligt</t>
  </si>
  <si>
    <t>{"username":"bern.sozialarbeiterin1a@diartis.ch","password":"SMze97-jkSJ59!F."}</t>
  </si>
  <si>
    <t>DO11_Dossier_Search_Lupe</t>
  </si>
  <si>
    <t>{"searchDossierOrKlient":</t>
  </si>
  <si>
    <t>,"resultType":"</t>
  </si>
  <si>
    <t>Dossiers</t>
  </si>
  <si>
    <t>{"Pause":"2000"}</t>
  </si>
  <si>
    <t>WO32_01b_Wohnsituation_Haushalt_Wohnung_anpassen</t>
  </si>
  <si>
    <t>{"vermieter":"</t>
  </si>
  <si>
    <t>Graber Immobilien</t>
  </si>
  <si>
    <t>","wohnungsgrosse":"</t>
  </si>
  <si>
    <t>4 Zimmer</t>
  </si>
  <si>
    <t>","mietkosten":</t>
  </si>
  <si>
    <t>,"nebenkosten":</t>
  </si>
  <si>
    <t>}</t>
  </si>
  <si>
    <t>WO30_Wohnsituation_Haushalt_Person_Hinzufuegen</t>
  </si>
  <si>
    <t>,"geburtsdatum":</t>
  </si>
  <si>
    <t>,"personInhausltVon":"</t>
  </si>
  <si>
    <t>","inHauslt":"</t>
  </si>
  <si>
    <t>Übernehmen</t>
  </si>
  <si>
    <t>","ereignis":"</t>
  </si>
  <si>
    <t>Eheschliessung</t>
  </si>
  <si>
    <t>Geburt</t>
  </si>
  <si>
    <t>KL01_Klientschaft_select</t>
  </si>
  <si>
    <t>{"dossier":</t>
  </si>
  <si>
    <t>`}</t>
  </si>
  <si>
    <t>KL03_ErwerbsituationEinnahmen_Lohn_erfassen</t>
  </si>
  <si>
    <t>{"panelTitle":"</t>
  </si>
  <si>
    <t>Erwerbssituation / Einnahmen</t>
  </si>
  <si>
    <t>","zahlbarDurch":"</t>
  </si>
  <si>
    <t>BKW Energie AG</t>
  </si>
  <si>
    <t>","pensumm":"</t>
  </si>
  <si>
    <t>","betrag":"</t>
  </si>
  <si>
    <t>","gueltigVon":"</t>
  </si>
  <si>
    <t>","gueltigBis":"</t>
  </si>
  <si>
    <t>","checkbox":"</t>
  </si>
  <si>
    <t>x</t>
  </si>
  <si>
    <t>KL0X_ErwerbsituationEinnahmen_erfassen</t>
  </si>
  <si>
    <t>`,"topMenu":"</t>
  </si>
  <si>
    <t>Erwerbseinkommen</t>
  </si>
  <si>
    <t>","subMenu":"</t>
  </si>
  <si>
    <t>Unselbständiges Erwerbseinkommen</t>
  </si>
  <si>
    <t>Berner Schuldenberatung</t>
  </si>
  <si>
    <t>","13Ja":"</t>
  </si>
  <si>
    <t>","schweregrad":"</t>
  </si>
  <si>
    <t>A01_AnspruchPruefung_Bedarfspruefung</t>
  </si>
  <si>
    <t>{"entscheidVom":"</t>
  </si>
  <si>
    <t>","begrundung":"</t>
  </si>
  <si>
    <t>Gar keine Begründung</t>
  </si>
  <si>
    <t>","unterstutzungab":"</t>
  </si>
  <si>
    <t>R01_Rahmenbudget_Wohnkosten_Anpassen_V2</t>
  </si>
  <si>
    <t>{"ubernahmeWohnkostenCFH":"</t>
  </si>
  <si>
    <t>","uebernahmeWohnkostenVon":"</t>
  </si>
  <si>
    <t>","uebernahmeWohnkostenBis":"</t>
  </si>
  <si>
    <t>","uebernahemBegruendung":"</t>
  </si>
  <si>
    <t>Die Wohnungen sind teuer hier</t>
  </si>
  <si>
    <t>{"Pause":"1000"}</t>
  </si>
  <si>
    <t>BW01_Bewilligungs_Workflow_LeistungsEntscheid</t>
  </si>
  <si>
    <t>{"lEvonDate":"</t>
  </si>
  <si>
    <t>","lEbisDate":"</t>
  </si>
  <si>
    <t>BW02_Bewilligungs_Workflow_Step</t>
  </si>
  <si>
    <t>,"buttonName":"</t>
  </si>
  <si>
    <t>Prüfung OK</t>
  </si>
  <si>
    <t>aventis-gemeinde-ma@diartis.ch</t>
  </si>
  <si>
    <t>#xFymiADPk7wJG/FWMz</t>
  </si>
  <si>
    <t>{"Pause":"400"}</t>
  </si>
  <si>
    <t>BW03b_Bewilligungs_WF_FreigabeVerwendungsPeriode</t>
  </si>
  <si>
    <t>{"verwendungPeriode":"November 2024,Oktober 2024","status":"Zu bezahlen"}</t>
  </si>
  <si>
    <t>{"verwendungPeriode":"</t>
  </si>
  <si>
    <t>November 2024,Oktober 2024</t>
  </si>
  <si>
    <t>,status":"</t>
  </si>
  <si>
    <t>Zu bezahlen</t>
  </si>
  <si>
    <t xml:space="preserve">}																				
</t>
  </si>
  <si>
    <t>WSH05_Haftung_Sozialhilfeschuld_Bearbeiten</t>
  </si>
  <si>
    <t>{"haftungsType":"</t>
  </si>
  <si>
    <t>Einseitige Solidarhaftung erfassen</t>
  </si>
  <si>
    <t>","haftungDurch":`</t>
  </si>
  <si>
    <t>`,"haftungVon":"</t>
  </si>
  <si>
    <t>01.01.2024</t>
  </si>
  <si>
    <t>","haftungBis":"</t>
  </si>
  <si>
    <t>31.12.2024</t>
  </si>
  <si>
    <t>","haftungFuer":`</t>
  </si>
  <si>
    <t>`,"person1":"</t>
  </si>
  <si>
    <t>","person2":"</t>
  </si>
  <si>
    <t>Einzelhaftung erfassen</t>
  </si>
  <si>
    <t>A00_BrowserRefresh_F5</t>
  </si>
  <si>
    <t>Z01_WSH_Zahlungen_Freigeben</t>
  </si>
  <si>
    <t>,"freigegebeneZahlungen":"</t>
  </si>
  <si>
    <t>Bern.Buchhalter@diartis.ch</t>
  </si>
  <si>
    <t>HBcc73+ppTX42?E.</t>
  </si>
  <si>
    <t>BU01_ZahlungsAuftrag_Erstellen</t>
  </si>
  <si>
    <t>{"bisValutaDatum":"</t>
  </si>
  <si>
    <t>","dossier":</t>
  </si>
  <si>
    <t>,"zahlungenTotal":"</t>
  </si>
  <si>
    <t>CHF 11’918.00</t>
  </si>
  <si>
    <t>WSH99_Zahlungen_AnzahlPruefen</t>
  </si>
  <si>
    <t>,"ausgefuehrteZahlungen":"</t>
  </si>
  <si>
    <t>{"url":"https://dev.aventis.swiss"}</t>
  </si>
  <si>
    <t>Dossier</t>
  </si>
  <si>
    <t>{"url":"http://localhost/"}</t>
  </si>
  <si>
    <t>Mann</t>
  </si>
  <si>
    <t>Familie</t>
  </si>
  <si>
    <t>{"url":"https://test.aventis.swiss"}</t>
  </si>
  <si>
    <t>Kword muss angepasst werden . Kein Fehler</t>
  </si>
  <si>
    <t>Achtung Formeln</t>
  </si>
  <si>
    <t>Oktober 2024</t>
  </si>
  <si>
    <t>November 2024</t>
  </si>
  <si>
    <t>Dezember 2024</t>
  </si>
  <si>
    <t>Januar 2025</t>
  </si>
  <si>
    <t xml:space="preserve">Achtung Formeln </t>
  </si>
  <si>
    <t>Februar 2025</t>
  </si>
  <si>
    <t>März 2025</t>
  </si>
  <si>
    <t>April 2025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</si>
  <si>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</si>
  <si>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</si>
  <si>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</si>
  <si>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</si>
  <si>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</si>
  <si>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</si>
  <si>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</si>
  <si>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</si>
  <si>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</si>
  <si>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</si>
  <si>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</si>
  <si>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</si>
  <si>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Message 26.06.2025 20:17:23</t>
  </si>
  <si>
    <t>KL10_Krankenversicherungen_VVG_erfassen</t>
  </si>
  <si>
    <t>{"Klientschaft":`</t>
  </si>
  <si>
    <t>`,"Gueltigkeit":"</t>
  </si>
  <si>
    <t>","KKasse":"</t>
  </si>
  <si>
    <t>Arcosana AG</t>
  </si>
  <si>
    <t>","VersNummer":"</t>
  </si>
  <si>
    <t>","GrundPraemie":"</t>
  </si>
  <si>
    <t>","ZahnInklusive":"</t>
  </si>
  <si>
    <t>ja</t>
  </si>
  <si>
    <t>","Franchise":"</t>
  </si>
  <si>
    <t>","Bemerkung":"</t>
  </si>
  <si>
    <t>Test</t>
  </si>
  <si>
    <t>BW02b_Bewilligungs_Workflow_Step_V2</t>
  </si>
  <si>
    <t>","checkEntscheid":"</t>
  </si>
  <si>
    <t>Geprüft</t>
  </si>
  <si>
    <t>","status":"</t>
  </si>
  <si>
    <t xml:space="preserve">"}																				
</t>
  </si>
  <si>
    <t>Error: locator.click: Target page, context or browser has been closedCall log:[2m  - waiting for locator('tr').filter({ hasText: 'Familie' }).locator('app-enum-selection mat-select')[22m</t>
  </si>
  <si>
    <t>done</t>
  </si>
  <si>
    <t>","datum":"</t>
  </si>
  <si>
    <t>Run Time Step (ms) 27.06.2025 00:08:11</t>
  </si>
  <si>
    <t>{"Pause":"300"}</t>
  </si>
  <si>
    <t> {"dossier":</t>
  </si>
  <si>
    <t>Config</t>
  </si>
  <si>
    <t>Value</t>
  </si>
  <si>
    <t>Timeout</t>
  </si>
  <si>
    <t>1000</t>
  </si>
  <si>
    <t>Expect Timeout</t>
  </si>
  <si>
    <t>1</t>
  </si>
  <si>
    <t>Retries</t>
  </si>
  <si>
    <t>process.env.CI ? 2 : 0</t>
  </si>
  <si>
    <t>Browser</t>
  </si>
  <si>
    <t>Microsoft Edge</t>
  </si>
  <si>
    <t>Viewport</t>
  </si>
  <si>
    <t>{ width: 1920, height: 1080 }</t>
  </si>
  <si>
    <t>SlowMo</t>
  </si>
  <si>
    <t>N/A</t>
  </si>
  <si>
    <t>workers</t>
  </si>
  <si>
    <t>headed</t>
  </si>
  <si>
    <t>Report Generated On:</t>
  </si>
  <si>
    <t>AventisURL</t>
  </si>
  <si>
    <t>https://qa.aventis.swiss</t>
  </si>
  <si>
    <t>R09_RahmenBudget_Wohnsituation_AnzeigenPruefen</t>
  </si>
  <si>
    <t> {"dossier":p.DossierName3,"checkUebernomWohnKosten":1350} </t>
  </si>
  <si>
    <t>,"checkUebernomWohnKosten":</t>
  </si>
  <si>
    <t>} </t>
  </si>
  <si>
    <t>DB01_DataBrowser_aufrufen</t>
  </si>
  <si>
    <t> {"thema":"</t>
  </si>
  <si>
    <t>Ermittlungen</t>
  </si>
  <si>
    <t>","fitlerName":"</t>
  </si>
  <si>
    <t>Sozialarbeiter</t>
  </si>
  <si>
    <t>","fitlerValue":"</t>
  </si>
  <si>
    <t>Yasmin Voser</t>
  </si>
  <si>
    <t>","checkItemsEqualOrMore":</t>
  </si>
  <si>
    <t>DW01_Dossier_Haushalt_pruefen</t>
  </si>
  <si>
    <t>DW02_Rahmenbudget_Wohnkosten_pruefen</t>
  </si>
  <si>
    <t>4-Zimmer-Wohnung</t>
  </si>
  <si>
    <t>","strasseAdresse":"</t>
  </si>
  <si>
    <t>","Wohnkosten":</t>
  </si>
  <si>
    <t>,"wohnKostenGemAnspruch":</t>
  </si>
  <si>
    <t>,"uebernommeneWohnkosten":</t>
  </si>
  <si>
    <t>,"totalWohnkosten":</t>
  </si>
  <si>
    <t>DO04d_Aufgaben_filtern_selektieren</t>
  </si>
  <si>
    <t>nicht begonnen,in Arbeit,Erledigt</t>
  </si>
  <si>
    <t>","aufGabeTitel":"</t>
  </si>
  <si>
    <t>","notiz":"</t>
  </si>
  <si>
    <t>Eine wichtige Notiz durch update</t>
  </si>
  <si>
    <t>c</t>
  </si>
  <si>
    <t>","dokumentName":"</t>
  </si>
  <si>
    <t>dossier and dokumentName are mandatory rest optional</t>
  </si>
  <si>
    <t>Interinstitutionelle Zusammenarbeit</t>
  </si>
  <si>
    <t>1_E2E_2025.7.17|17:0:59_611</t>
  </si>
  <si>
    <t>","linkName":"</t>
  </si>
  <si>
    <t>ein wichtiger Link</t>
  </si>
  <si>
    <t>DO04_Aufgabe_erfassen</t>
  </si>
  <si>
    <t>{"aufgabenStatus":"</t>
  </si>
  <si>
    <t>Nicht begonnen</t>
  </si>
  <si>
    <t>","aufgabenTitel":"</t>
  </si>
  <si>
    <t>","faelligkeitDatum":"</t>
  </si>
  <si>
    <t>","zugewiesenAn":"</t>
  </si>
  <si>
    <t>","check":"</t>
  </si>
  <si>
    <t>11.08.2025</t>
  </si>
  <si>
    <t>{"searchDossierOrKlient":p.DossierName8,"resultType":"Dossiers"}</t>
  </si>
  <si>
    <t>p.DossierName8</t>
  </si>
  <si>
    <t>,"resultType":"Dossiers"}</t>
  </si>
  <si>
    <t>DO04b_Aufgabe_editieren</t>
  </si>
  <si>
    <t> {"oldFaelligkeitDatum":"11.08.2025","oldAufgabenTitel":"Eine weniger wichtige Aufgabe_013","oldzugewiesenAn":"Bern Sozialarbeiterin 1B","zugewiesenAn":"Bern Sozialarbeiterin 1A","aufgabenTitel":"Ein Neuer Text als Titel 14","status":"In Arbeit","prio":"Wichtig","startDatum":"","notizen":"Eine sehr wichtige Notiz","checklistQtt":3,"checkList":"'Alles wird gut', 'Der Himmel ist blau', 'Das wasser ist grün'","verKnuepfung":"https://www.google.com/"}</t>
  </si>
  <si>
    <t> {"oldFaelligkeitDatum":"</t>
  </si>
  <si>
    <t>","oldAufgabenTitel":"</t>
  </si>
  <si>
    <t>Eine weniger wichtige Aufgabe_013</t>
  </si>
  <si>
    <t>","oldzugewiesenAn":"</t>
  </si>
  <si>
    <t>Bern Sozialarbeiterin 1B</t>
  </si>
  <si>
    <t>Ein Neuer Text als Titel 14</t>
  </si>
  <si>
    <t>In Arbeit</t>
  </si>
  <si>
    <t>","prio":"</t>
  </si>
  <si>
    <t>Wichtig</t>
  </si>
  <si>
    <t>","startDatum":"</t>
  </si>
  <si>
    <t>","notizen":"</t>
  </si>
  <si>
    <t>Eine sehr wichtige Notiz</t>
  </si>
  <si>
    <t>","checklistQtt":</t>
  </si>
  <si>
    <t>,"checkList":"</t>
  </si>
  <si>
    <t>'Alles wird gut', 'Der Himmel ist blau', 'Das wasser ist grün'</t>
  </si>
  <si>
    <t>","verKnuepfung":"</t>
  </si>
  <si>
    <t>https://www.google.com/</t>
  </si>
  <si>
    <t>,"zugewMitarbeiter":"</t>
  </si>
  <si>
    <t>","erstelltDurch":"</t>
  </si>
  <si>
    <t>,"zimmerWohnungTitel":"</t>
  </si>
  <si>
    <t>Strasse_680 15, 3053 Münchenbuchsee</t>
  </si>
  <si>
    <t>,"beWohnerContains":`${</t>
  </si>
  <si>
    <t>p.ManFirstName9},${p.WomanFirstName8},${p.GirlFirstName8},${p.ManFirstName8</t>
  </si>
  <si>
    <t>}`,"gueltigAb":"</t>
  </si>
  <si>
    <t xml:space="preserve"> (ms) 26.06.2025 20:17:23</t>
  </si>
  <si>
    <t xml:space="preserve"> (ms) 26.06.2025 23:17:01</t>
  </si>
  <si>
    <t xml:space="preserve"> (ms) 27.06.2025 10:30:47</t>
  </si>
  <si>
    <t xml:space="preserve"> (ms) 30.06.2025 14:38:55</t>
  </si>
  <si>
    <t xml:space="preserve"> (ms) 30.06.2025 19:22:09</t>
  </si>
  <si>
    <t xml:space="preserve"> (ms) 30.06.2025 20:14:13</t>
  </si>
  <si>
    <t xml:space="preserve"> (ms) 04.07.2025 23:23:59</t>
  </si>
  <si>
    <t>21.07.2025 20:10:18</t>
  </si>
  <si>
    <t>21.07.2025 23:53:59</t>
  </si>
  <si>
    <t>Message</t>
  </si>
  <si>
    <t>07.08.2025 19:32:03</t>
  </si>
  <si>
    <t>07.08.2025 19:34:23</t>
  </si>
  <si>
    <t>07.08.2025 20:58:26</t>
  </si>
  <si>
    <t>,"firstLevelBetrag":</t>
  </si>
  <si>
    <t>07.08.2025 21:27:48</t>
  </si>
  <si>
    <t>08.08.2025 08:12:28</t>
  </si>
  <si>
    <t>08.08.2025 08:21:51</t>
  </si>
  <si>
    <t>08.08.2025 08:53:08</t>
  </si>
  <si>
    <t>08.08.2025 08:54:16</t>
  </si>
  <si>
    <t>08.08.2025 09:01:35</t>
  </si>
  <si>
    <t>08.08.2025 10:01:53</t>
  </si>
  <si>
    <t>08.08.2025 10:15:35</t>
  </si>
  <si>
    <t>08.08.2025 10:41:56</t>
  </si>
  <si>
    <t>08.08.2025 10:51:24</t>
  </si>
  <si>
    <t>08.08.2025 11:00:00</t>
  </si>
  <si>
    <t>SpeedFaktor</t>
  </si>
  <si>
    <t>19.08.2025 08:51:10</t>
  </si>
  <si>
    <t>Error: [31mTimed out 10000ms waiting for [39m[2mexpect([22m[31mlocator[39m[2m).[22mtoHaveText[2m([22m[32mexpected[39m[2m)[22mLocator: locator('div.versions-container.ng-star-inserted').locator('span.version-row')Expected string: [32m"2025.4.[7m141[27m-dev"[39mReceived string: [31m"2025.4.[7m244[27m-dev"[39mCall log:[2m  - Expect "soft toHaveText" with timeout 10000ms[22m[2m  - waiting for locator('div.versions-container.ng-star-inserted').locator('span.version-row')[22m[2m    11 × locator resolved to &lt;span class="version-row" _ngcontent-ng-c3803718529=""&gt;2025.4.244-dev&lt;/span&gt;[22m[2m       - unexpected value "2025.4.244-dev"[22m
Screenshots: C:\Aventis\Aventis_Playwright-\test-results\videos\007_KeyWords_Smoketest-000-000-Microsoft-Edge\test-failed-1.png
Videos: C:\Aventis\Aventis_Playwright-\test-results\videos\007_KeyWords_Smoketest-000-000-Microsoft-Edge\video.webm</t>
  </si>
  <si>
    <t>2025.4.244-dev</t>
  </si>
  <si>
    <t>bern.sozialarbeiterin1b@diartis.ch</t>
  </si>
  <si>
    <t>Sozialarbeiterin 1B Bern</t>
  </si>
  <si>
    <t>VUrh27!yxJA95?W.</t>
  </si>
  <si>
    <t>AA_Aufgabe45896_45896.3809446759_3</t>
  </si>
  <si>
    <t>Fehler erfasst zu viele Einträge verhindern ein korrektes GUI</t>
  </si>
  <si>
    <t>27.08.2025 20:22:29</t>
  </si>
  <si>
    <t>Error: locator.click: Test timeout of 600000ms exceeded.Call log:[2m  - waiting for locator('app-aufgabe-card:has-text(\'AA_Aufgabe45896_45896.834397338_1\'):has-text(\'23.8.2026\')').first()[22m
Screenshots: C:\Aventis\Aventis_Playwright-\test-results\videos\007_KeyWords_Smoketest-DO04d-DO04d-Microsoft-Edge\test-failed-1.png
Videos: C:\Aventis\Aventis_Playwright-\test-results\videos\007_KeyWords_Smoketest-DO04d-DO04d-Microsoft-Edge\video.webm</t>
  </si>
  <si>
    <t xml:space="preserve">
      mode: 'on',
      size:  { width: 1920, height: 1080 </t>
  </si>
  <si>
    <t>27.08.2025 22:18:08</t>
  </si>
  <si>
    <t>Error: locator.click: Test timeout of 1080000ms exceeded.Call log:[2m  - waiting for locator('app-aufgabe-card:has-text(\'AA_Aufgabe45896_45896.907519213_1\'):has-text(\'23.8.2026\')').first()[22m
Screenshots: C:\Aventis\Aventis_Playwright-\test-results\videos\007_KeyWords_Smoketest-DO04d-DO04d-Microsoft-Edge\test-failed-1.png
Videos: C:\Aventis\Aventis_Playwright-\test-results\videos\007_KeyWords_Smoketest-DO04d-DO04d-Microsoft-Edge\video.webm</t>
  </si>
  <si>
    <t>28.08.2025 07:17:13</t>
  </si>
  <si>
    <t>TypeError: Cannot destructure property 'version' of 'undefined' as it is undefined.
Screenshots: C:\Aventis\Aventis_Playwright-\test-results\videos\007_KeyWords_Smoketest-000-000-Microsoft-Edge\test-failed-1.png
Videos: C:\Aventis\Aventis_Playwright-\test-results\videos\007_KeyWords_Smoketest-000-000-Microsoft-Edge\video.webm</t>
  </si>
  <si>
    <t>TypeError: Cannot destructure property 'url' of 'undefined' as it is undefined.
Screenshots: C:\Aventis\Aventis_Playwright-\test-results\videos\007_KeyWords_Smoketest-08-E2E-08-E2E-Microsoft-Edge\test-failed-1.png
Videos: C:\Aventis\Aventis_Playwright-\test-results\videos\007_KeyWords_Smoketest-08-E2E-08-E2E-Microsoft-Edge\video.webm</t>
  </si>
  <si>
    <t>TypeError: Cannot destructure property 'url' of 'undefined' as it is undefined.
Screenshots: C:\Aventis\Aventis_Playwright-\test-results\videos\007_KeyWords_Smoketest-DO04d-DO04d-Microsoft-Edge\test-failed-1.png
Videos: C:\Aventis\Aventis_Playwright-\test-results\videos\007_KeyWords_Smoketest-DO04d-DO04d-Microsoft-Edge\video.webm</t>
  </si>
  <si>
    <t xml:space="preserve"> </t>
  </si>
  <si>
    <t>28.08.2025 07:22:34</t>
  </si>
  <si>
    <t/>
  </si>
  <si>
    <t>TypeError: Cannot destructure property 'version' of 'undefined' as it is undefined.
Screenshots: C:\Aventis\Aventis_Playwright-\test-results\videos\007_KeyWords_Smoketest-000-000-Microsoft-Edge\test-failed-1.png
Videos: C:\Aventis\Aventis_Playwright-\test-results\videos\007_KeyWords_Smoketest-000-000-Microsoft-Edge\video.webm</t>
  </si>
  <si>
    <t>TypeError: Cannot destructure property 'url' of 'undefined' as it is undefined.
Screenshots: C:\Aventis\Aventis_Playwright-\test-results\videos\007_KeyWords_Smoketest-08-E2E-08-E2E-Microsoft-Edge\test-failed-1.png
Videos: C:\Aventis\Aventis_Playwright-\test-results\videos\007_KeyWords_Smoketest-08-E2E-08-E2E-Microsoft-Edge\video.webm</t>
  </si>
  <si>
    <t>TypeError: Cannot destructure property 'url' of 'undefined' as it is undefined.
Screenshots: C:\Aventis\Aventis_Playwright-\test-results\videos\007_KeyWords_Smoketest-DO04d-DO04d-Microsoft-Edge\test-failed-1.png
Videos: C:\Aventis\Aventis_Playwright-\test-results\videos\007_KeyWords_Smoketest-DO04d-DO04d-Microsoft-Edge\video.webm</t>
  </si>
  <si>
    <t>TypeError: Cannot destructure property 'url' of 'undefined' as it is undefined.
Screenshots: C:\Aventis\Aventis_Playwright-\test-results\videos\007_KeyWords_Smoketest-DO04e-DO04e-Microsoft-Edge\test-failed-1.png
Videos: C:\Aventis\Aventis_Playwright-\test-results\videos\007_KeyWords_Smoketest-DO04e-DO04e-Microsoft-Edge\video.webm</t>
  </si>
  <si>
    <t>TypeError: Cannot destructure property 'url' of 'undefined' as it is undefined.
Screenshots: C:\Aventis\Aventis_Playwright-\test-results\videos\007_KeyWords_Smoketest-R09-R09-Microsoft-Edge\test-failed-1.png
Videos: C:\Aventis\Aventis_Playwright-\test-results\videos\007_KeyWords_Smoketest-R09-R09-Microsoft-Edge\video.webm</t>
  </si>
  <si>
    <t>2025.08.28_27.22.34</t>
  </si>
  <si>
    <t>yes</t>
  </si>
  <si>
    <t>DO04e_zuAufgabe_Dokument_hinzufuegen</t>
  </si>
  <si>
    <t>I</t>
  </si>
  <si>
    <t>Nicht begonnen,In Arbeit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</si>
</sst>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4">
    <font>
      <sz val="11"/>
      <color theme="1"/>
      <name val="Aptos Narrow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indexed="9"/>
      <name val="Arial"/>
      <family val="2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b/>
      <sz val="11"/>
      <color indexed="57"/>
      <name val="Arial"/>
      <family val="2"/>
    </font>
    <font>
      <u/>
      <sz val="11"/>
      <color indexed="3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indexed="8"/>
      <name val="Aptos Narrow"/>
      <family val="2"/>
    </font>
    <font>
      <sz val="11"/>
      <color indexed="23"/>
      <name val="Calibri"/>
      <family val="2"/>
    </font>
    <font>
      <b/>
      <sz val="11"/>
      <color indexed="9"/>
      <name val="Aptos Narrow"/>
      <family val="2"/>
    </font>
    <font>
      <b/>
      <sz val="11"/>
      <color indexed="9"/>
      <name val="Calibri"/>
      <family val="2"/>
    </font>
    <font>
      <b/>
      <sz val="11"/>
      <color indexed="10"/>
      <name val="Calibri"/>
      <family val="2"/>
    </font>
    <font>
      <u/>
      <sz val="11"/>
      <color theme="10"/>
      <name val="Calibri"/>
      <family val="2"/>
    </font>
    <font>
      <sz val="11"/>
      <color indexed="22"/>
      <name val="Calibri"/>
      <family val="2"/>
    </font>
    <font>
      <sz val="11"/>
      <color indexed="63"/>
      <name val="Calibri"/>
      <family val="2"/>
    </font>
    <font>
      <u/>
      <sz val="11"/>
      <color indexed="30"/>
      <name val="Calibri"/>
      <family val="2"/>
    </font>
    <font>
      <sz val="11"/>
      <color indexed="23"/>
      <name val="Arial"/>
      <family val="2"/>
    </font>
    <font>
      <sz val="11"/>
      <color indexed="63"/>
      <name val="Arial"/>
      <family val="2"/>
    </font>
    <font>
      <sz val="11"/>
      <color indexed="10"/>
      <name val="Calibri"/>
      <family val="2"/>
    </font>
    <font>
      <sz val="11"/>
      <color indexed="8"/>
      <name val="Inter va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indexed="57"/>
      <name val="Calibri"/>
      <family val="2"/>
    </font>
    <font>
      <sz val="11"/>
      <color indexed="62"/>
      <name val="Calibri"/>
      <family val="2"/>
    </font>
    <font>
      <i/>
      <sz val="11"/>
      <color indexed="63"/>
      <name val="Calibri"/>
      <family val="2"/>
    </font>
    <font>
      <i/>
      <sz val="11"/>
      <color indexed="63"/>
      <name val="Aptos Narrow"/>
      <family val="2"/>
    </font>
    <font>
      <i/>
      <u/>
      <sz val="11"/>
      <color indexed="63"/>
      <name val="Aptos Narrow"/>
      <family val="2"/>
    </font>
    <font>
      <i/>
      <u/>
      <sz val="11"/>
      <color indexed="63"/>
      <name val="Calibri"/>
      <family val="2"/>
    </font>
    <font>
      <i/>
      <sz val="11"/>
      <color indexed="9"/>
      <name val="Calibri"/>
      <family val="2"/>
    </font>
    <font>
      <i/>
      <sz val="11"/>
      <color indexed="9"/>
      <name val="Aptos Narrow"/>
      <family val="2"/>
    </font>
    <font>
      <sz val="11"/>
      <color indexed="10"/>
      <name val="Aptos Narrow"/>
      <family val="2"/>
    </font>
    <font>
      <sz val="11"/>
      <color theme="1"/>
      <name val="Aptos Narrow"/>
      <family val="2"/>
    </font>
    <font>
      <sz val="11"/>
      <color theme="2" tint="-0.499984740745262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0" tint="-0.499984740745262"/>
      <name val="Arial"/>
      <family val="2"/>
    </font>
    <font>
      <b/>
      <sz val="11"/>
      <name val="Arial"/>
      <family val="2"/>
    </font>
    <font>
      <sz val="11"/>
      <color theme="0" tint="-0.34998626667073579"/>
      <name val="Arial"/>
      <family val="2"/>
    </font>
    <font>
      <u/>
      <sz val="11"/>
      <color theme="10"/>
      <name val="Arial"/>
      <family val="2"/>
    </font>
    <font>
      <b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  <font>
      <b/>
      <sz val="11"/>
      <color theme="1"/>
      <name val="Calibri"/>
      <family val="2"/>
    </font>
    <font>
      <u/>
      <sz val="11"/>
      <color theme="0" tint="-0.34998626667073579"/>
      <name val="Calibri"/>
      <family val="2"/>
    </font>
    <font>
      <sz val="11"/>
      <color theme="0" tint="-0.34998626667073579"/>
      <name val="Aptos Narrow"/>
      <family val="2"/>
      <scheme val="minor"/>
    </font>
    <font>
      <sz val="11"/>
      <color rgb="FFCD3131"/>
      <name val="Courier New"/>
      <family val="3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ptos Narrow"/>
      <family val="2"/>
    </font>
    <font>
      <sz val="11"/>
      <color theme="1"/>
      <name val="Calibri"/>
      <family val="2"/>
    </font>
    <font>
      <b/>
      <sz val="11"/>
      <name val="Aptos Narrow"/>
      <family val="2"/>
    </font>
    <font>
      <sz val="11"/>
      <color theme="1"/>
      <name val="Calibri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b/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b/>
      <sz val="11"/>
      <name val="Calibri"/>
      <family val="2"/>
    </font>
    <font>
      <sz val="11"/>
      <name val="Consolas"/>
      <family val="3"/>
    </font>
    <font>
      <sz val="11"/>
      <color theme="1"/>
      <name val="Arial"/>
      <family val="2"/>
    </font>
  </fonts>
  <fills count="15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3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solid">
        <fgColor rgb="FFFF0000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3"/>
        <bgColor indexed="64"/>
      </patternFill>
    </fill>
    <fill>
      <patternFill patternType="solid">
        <fgColor theme="3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3"/>
        <bgColor indexed="64"/>
      </patternFill>
    </fill>
    <fill>
      <patternFill patternType="solid">
        <fgColor theme="3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solid">
        <fgColor theme="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solid">
        <fgColor theme="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37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5" fillId="0" borderId="0" applyNumberFormat="0" applyFill="0" applyBorder="0" applyAlignment="0" applyProtection="0"/>
  </cellStyleXfs>
  <cellXfs count="42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wrapText="1"/>
    </xf>
    <xf numFmtId="0" fontId="1" fillId="4" borderId="0" xfId="0" applyFont="1" applyFill="1" applyAlignment="1">
      <alignment vertical="top"/>
    </xf>
    <xf numFmtId="0" fontId="2" fillId="6" borderId="0" xfId="0" applyFont="1" applyFill="1" applyAlignment="1">
      <alignment horizontal="left" wrapText="1"/>
    </xf>
    <xf numFmtId="0" fontId="1" fillId="0" borderId="0" xfId="0" applyFont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164" fontId="2" fillId="8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 vertical="top"/>
    </xf>
    <xf numFmtId="0" fontId="1" fillId="9" borderId="0" xfId="0" applyFont="1" applyFill="1" applyAlignment="1">
      <alignment wrapText="1"/>
    </xf>
    <xf numFmtId="0" fontId="1" fillId="10" borderId="0" xfId="0" applyFont="1" applyFill="1" applyAlignment="1">
      <alignment horizontal="center" vertical="top"/>
    </xf>
    <xf numFmtId="0" fontId="5" fillId="10" borderId="1" xfId="0" applyFont="1" applyFill="1" applyBorder="1" applyAlignment="1">
      <alignment wrapText="1"/>
    </xf>
    <xf numFmtId="0" fontId="6" fillId="10" borderId="1" xfId="0" applyFont="1" applyFill="1" applyBorder="1" applyAlignment="1">
      <alignment wrapText="1"/>
    </xf>
    <xf numFmtId="0" fontId="1" fillId="10" borderId="0" xfId="0" applyFont="1" applyFill="1" applyAlignment="1">
      <alignment wrapText="1"/>
    </xf>
    <xf numFmtId="0" fontId="7" fillId="10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/>
    </xf>
    <xf numFmtId="0" fontId="8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left" wrapText="1"/>
    </xf>
    <xf numFmtId="0" fontId="12" fillId="2" borderId="0" xfId="0" applyFont="1" applyFill="1" applyAlignment="1">
      <alignment horizontal="center" vertical="top"/>
    </xf>
    <xf numFmtId="0" fontId="11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9" fillId="3" borderId="0" xfId="0" applyFont="1" applyFill="1" applyAlignment="1">
      <alignment horizontal="left" wrapText="1"/>
    </xf>
    <xf numFmtId="0" fontId="9" fillId="10" borderId="0" xfId="0" applyFont="1" applyFill="1" applyAlignment="1">
      <alignment horizontal="center" vertical="top"/>
    </xf>
    <xf numFmtId="0" fontId="9" fillId="3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9" fillId="3" borderId="0" xfId="0" applyFont="1" applyFill="1" applyAlignment="1">
      <alignment horizontal="left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top"/>
    </xf>
    <xf numFmtId="0" fontId="10" fillId="11" borderId="0" xfId="0" applyFont="1" applyFill="1" applyAlignment="1">
      <alignment vertical="top"/>
    </xf>
    <xf numFmtId="0" fontId="9" fillId="3" borderId="1" xfId="0" applyFont="1" applyFill="1" applyBorder="1" applyAlignment="1">
      <alignment wrapText="1"/>
    </xf>
    <xf numFmtId="0" fontId="9" fillId="12" borderId="0" xfId="0" applyFont="1" applyFill="1" applyAlignment="1">
      <alignment wrapText="1"/>
    </xf>
    <xf numFmtId="0" fontId="16" fillId="12" borderId="0" xfId="0" applyFont="1" applyFill="1" applyAlignment="1">
      <alignment vertical="top" wrapText="1"/>
    </xf>
    <xf numFmtId="0" fontId="17" fillId="12" borderId="0" xfId="0" applyFont="1" applyFill="1" applyAlignment="1">
      <alignment vertical="top" wrapText="1"/>
    </xf>
    <xf numFmtId="0" fontId="18" fillId="12" borderId="0" xfId="0" applyFont="1" applyFill="1" applyAlignment="1">
      <alignment vertical="top"/>
    </xf>
    <xf numFmtId="0" fontId="9" fillId="9" borderId="0" xfId="0" applyFont="1" applyFill="1" applyAlignment="1">
      <alignment horizontal="left"/>
    </xf>
    <xf numFmtId="0" fontId="19" fillId="3" borderId="0" xfId="0" applyFont="1" applyFill="1" applyAlignment="1">
      <alignment wrapText="1"/>
    </xf>
    <xf numFmtId="0" fontId="22" fillId="0" borderId="0" xfId="0" applyFont="1" applyAlignment="1">
      <alignment horizontal="left" vertical="top"/>
    </xf>
    <xf numFmtId="0" fontId="9" fillId="12" borderId="0" xfId="0" applyFont="1" applyFill="1" applyAlignment="1">
      <alignment horizontal="left" vertical="top"/>
    </xf>
    <xf numFmtId="0" fontId="24" fillId="0" borderId="0" xfId="0" applyFont="1" applyAlignment="1">
      <alignment horizontal="left" vertical="top"/>
    </xf>
    <xf numFmtId="14" fontId="9" fillId="3" borderId="0" xfId="0" applyNumberFormat="1" applyFont="1" applyFill="1" applyAlignment="1">
      <alignment horizontal="left" vertical="top"/>
    </xf>
    <xf numFmtId="0" fontId="9" fillId="14" borderId="0" xfId="0" applyFont="1" applyFill="1" applyAlignment="1">
      <alignment horizontal="left" vertical="top"/>
    </xf>
    <xf numFmtId="0" fontId="11" fillId="14" borderId="0" xfId="0" applyFont="1" applyFill="1" applyAlignment="1">
      <alignment horizontal="left" vertical="top"/>
    </xf>
    <xf numFmtId="0" fontId="9" fillId="14" borderId="0" xfId="0" applyFont="1" applyFill="1" applyAlignment="1">
      <alignment horizontal="left"/>
    </xf>
    <xf numFmtId="0" fontId="9" fillId="13" borderId="0" xfId="0" applyFont="1" applyFill="1" applyAlignment="1">
      <alignment horizontal="left" vertical="top"/>
    </xf>
    <xf numFmtId="0" fontId="11" fillId="13" borderId="0" xfId="0" applyFont="1" applyFill="1" applyAlignment="1">
      <alignment horizontal="left" vertical="top"/>
    </xf>
    <xf numFmtId="0" fontId="9" fillId="13" borderId="0" xfId="0" applyFont="1" applyFill="1" applyAlignment="1">
      <alignment horizontal="left"/>
    </xf>
    <xf numFmtId="0" fontId="26" fillId="0" borderId="0" xfId="0" applyFont="1" applyAlignment="1">
      <alignment horizontal="left" vertical="top"/>
    </xf>
    <xf numFmtId="0" fontId="26" fillId="10" borderId="0" xfId="0" applyFont="1" applyFill="1" applyAlignment="1">
      <alignment horizontal="left" vertical="top"/>
    </xf>
    <xf numFmtId="0" fontId="26" fillId="7" borderId="0" xfId="0" applyFont="1" applyFill="1" applyAlignment="1">
      <alignment horizontal="left" vertical="top"/>
    </xf>
    <xf numFmtId="0" fontId="11" fillId="12" borderId="0" xfId="0" applyFont="1" applyFill="1" applyAlignment="1">
      <alignment horizontal="left" vertical="top"/>
    </xf>
    <xf numFmtId="0" fontId="10" fillId="0" borderId="0" xfId="0" applyFont="1" applyAlignment="1">
      <alignment horizontal="left"/>
    </xf>
    <xf numFmtId="0" fontId="28" fillId="0" borderId="0" xfId="0" applyFont="1" applyAlignment="1">
      <alignment horizontal="left" vertical="top"/>
    </xf>
    <xf numFmtId="0" fontId="28" fillId="11" borderId="0" xfId="0" applyFont="1" applyFill="1" applyAlignment="1">
      <alignment horizontal="left" vertical="top"/>
    </xf>
    <xf numFmtId="0" fontId="28" fillId="11" borderId="0" xfId="0" applyFont="1" applyFill="1" applyAlignment="1">
      <alignment horizontal="left"/>
    </xf>
    <xf numFmtId="0" fontId="29" fillId="0" borderId="0" xfId="0" applyFont="1" applyAlignment="1">
      <alignment vertical="top"/>
    </xf>
    <xf numFmtId="0" fontId="29" fillId="11" borderId="0" xfId="0" applyFont="1" applyFill="1" applyAlignment="1">
      <alignment vertical="top"/>
    </xf>
    <xf numFmtId="0" fontId="28" fillId="11" borderId="0" xfId="0" applyFont="1" applyFill="1" applyAlignment="1">
      <alignment horizontal="left" wrapText="1"/>
    </xf>
    <xf numFmtId="0" fontId="32" fillId="0" borderId="0" xfId="0" applyFont="1" applyAlignment="1">
      <alignment horizontal="left" vertical="top"/>
    </xf>
    <xf numFmtId="0" fontId="33" fillId="11" borderId="0" xfId="0" applyFont="1" applyFill="1" applyAlignment="1">
      <alignment horizontal="left" vertical="top"/>
    </xf>
    <xf numFmtId="0" fontId="32" fillId="11" borderId="0" xfId="0" applyFont="1" applyFill="1" applyAlignment="1">
      <alignment horizontal="left" vertical="top"/>
    </xf>
    <xf numFmtId="0" fontId="33" fillId="11" borderId="0" xfId="0" applyFont="1" applyFill="1" applyAlignment="1">
      <alignment horizontal="left"/>
    </xf>
    <xf numFmtId="0" fontId="33" fillId="0" borderId="0" xfId="0" applyFont="1" applyAlignment="1">
      <alignment vertical="top"/>
    </xf>
    <xf numFmtId="0" fontId="33" fillId="11" borderId="0" xfId="0" applyFont="1" applyFill="1" applyAlignment="1">
      <alignment vertical="top"/>
    </xf>
    <xf numFmtId="0" fontId="33" fillId="0" borderId="0" xfId="0" applyFont="1" applyAlignment="1">
      <alignment horizontal="left" vertical="top"/>
    </xf>
    <xf numFmtId="0" fontId="32" fillId="0" borderId="0" xfId="0" applyFont="1" applyAlignment="1">
      <alignment vertical="top"/>
    </xf>
    <xf numFmtId="0" fontId="32" fillId="11" borderId="0" xfId="0" applyFont="1" applyFill="1" applyAlignment="1">
      <alignment vertical="top"/>
    </xf>
    <xf numFmtId="0" fontId="32" fillId="11" borderId="0" xfId="0" applyFont="1" applyFill="1" applyAlignment="1">
      <alignment horizontal="left"/>
    </xf>
    <xf numFmtId="0" fontId="9" fillId="10" borderId="0" xfId="0" applyFont="1" applyFill="1" applyAlignment="1">
      <alignment horizontal="left" vertical="top" wrapText="1"/>
    </xf>
    <xf numFmtId="164" fontId="9" fillId="0" borderId="0" xfId="0" applyNumberFormat="1" applyFont="1" applyAlignment="1">
      <alignment horizontal="left"/>
    </xf>
    <xf numFmtId="0" fontId="8" fillId="0" borderId="0" xfId="0" applyFont="1" applyAlignment="1">
      <alignment wrapText="1"/>
    </xf>
    <xf numFmtId="0" fontId="13" fillId="2" borderId="0" xfId="0" applyFont="1" applyFill="1" applyAlignment="1">
      <alignment horizontal="center" vertical="center"/>
    </xf>
    <xf numFmtId="0" fontId="9" fillId="10" borderId="0" xfId="0" applyFont="1" applyFill="1" applyAlignment="1">
      <alignment vertical="top"/>
    </xf>
    <xf numFmtId="0" fontId="9" fillId="10" borderId="0" xfId="0" applyFont="1" applyFill="1" applyAlignment="1">
      <alignment wrapText="1"/>
    </xf>
    <xf numFmtId="14" fontId="9" fillId="10" borderId="0" xfId="0" applyNumberFormat="1" applyFont="1" applyFill="1" applyAlignment="1">
      <alignment horizontal="left" vertical="top"/>
    </xf>
    <xf numFmtId="0" fontId="14" fillId="2" borderId="0" xfId="0" applyFont="1" applyFill="1" applyAlignment="1">
      <alignment horizontal="center" vertical="center" wrapText="1"/>
    </xf>
    <xf numFmtId="0" fontId="37" fillId="15" borderId="10" xfId="0" applyFont="1" applyFill="1" applyBorder="1" applyAlignment="1">
      <alignment horizontal="left" vertical="top" wrapText="1"/>
    </xf>
    <xf numFmtId="0" fontId="0" fillId="15" borderId="10" xfId="0" applyFill="1" applyBorder="1" applyAlignment="1">
      <alignment vertical="top" wrapText="1"/>
    </xf>
    <xf numFmtId="14" fontId="9" fillId="10" borderId="0" xfId="0" applyNumberFormat="1" applyFont="1" applyFill="1" applyAlignment="1">
      <alignment wrapText="1"/>
    </xf>
    <xf numFmtId="0" fontId="11" fillId="0" borderId="0" xfId="0" applyFont="1" applyAlignment="1">
      <alignment horizontal="left"/>
    </xf>
    <xf numFmtId="0" fontId="9" fillId="0" borderId="0" xfId="0" applyFont="1"/>
    <xf numFmtId="0" fontId="11" fillId="0" borderId="0" xfId="0" applyFont="1" applyAlignment="1">
      <alignment wrapText="1"/>
    </xf>
    <xf numFmtId="0" fontId="15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9" fillId="0" borderId="0" xfId="0" applyFont="1" applyAlignment="1">
      <alignment wrapText="1"/>
    </xf>
    <xf numFmtId="0" fontId="20" fillId="0" borderId="0" xfId="0" applyFont="1"/>
    <xf numFmtId="0" fontId="10" fillId="0" borderId="0" xfId="0" applyFont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left" vertical="top"/>
    </xf>
    <xf numFmtId="0" fontId="23" fillId="0" borderId="0" xfId="0" applyFont="1" applyAlignment="1">
      <alignment vertical="top" wrapText="1"/>
    </xf>
    <xf numFmtId="14" fontId="9" fillId="0" borderId="0" xfId="0" applyNumberFormat="1" applyFont="1" applyAlignment="1">
      <alignment horizontal="left" vertical="top"/>
    </xf>
    <xf numFmtId="0" fontId="21" fillId="0" borderId="0" xfId="0" applyFont="1"/>
    <xf numFmtId="14" fontId="15" fillId="0" borderId="0" xfId="0" applyNumberFormat="1" applyFont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23" fillId="0" borderId="1" xfId="0" applyFont="1" applyBorder="1" applyAlignment="1">
      <alignment horizontal="left" vertical="top" wrapText="1"/>
    </xf>
    <xf numFmtId="0" fontId="10" fillId="0" borderId="0" xfId="0" applyFont="1"/>
    <xf numFmtId="0" fontId="23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/>
    </xf>
    <xf numFmtId="0" fontId="29" fillId="0" borderId="0" xfId="0" applyFont="1" applyAlignment="1">
      <alignment horizontal="center" vertical="top"/>
    </xf>
    <xf numFmtId="0" fontId="29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 wrapText="1"/>
    </xf>
    <xf numFmtId="14" fontId="28" fillId="0" borderId="0" xfId="0" applyNumberFormat="1" applyFont="1" applyAlignment="1">
      <alignment horizontal="left" vertical="top"/>
    </xf>
    <xf numFmtId="0" fontId="29" fillId="0" borderId="0" xfId="0" applyFont="1" applyAlignment="1">
      <alignment wrapText="1"/>
    </xf>
    <xf numFmtId="0" fontId="29" fillId="0" borderId="0" xfId="0" applyFont="1" applyAlignment="1">
      <alignment vertical="top" wrapText="1"/>
    </xf>
    <xf numFmtId="0" fontId="30" fillId="0" borderId="0" xfId="0" applyFont="1" applyAlignment="1">
      <alignment vertical="top"/>
    </xf>
    <xf numFmtId="0" fontId="31" fillId="0" borderId="0" xfId="0" applyFont="1" applyAlignment="1">
      <alignment horizontal="left" vertical="top"/>
    </xf>
    <xf numFmtId="14" fontId="31" fillId="0" borderId="0" xfId="0" applyNumberFormat="1" applyFont="1" applyAlignment="1">
      <alignment horizontal="left" vertical="top"/>
    </xf>
    <xf numFmtId="0" fontId="28" fillId="0" borderId="0" xfId="0" applyFont="1"/>
    <xf numFmtId="0" fontId="29" fillId="0" borderId="0" xfId="0" applyFont="1" applyAlignment="1">
      <alignment horizontal="left" vertical="top" wrapText="1"/>
    </xf>
    <xf numFmtId="14" fontId="28" fillId="0" borderId="0" xfId="0" applyNumberFormat="1" applyFont="1"/>
    <xf numFmtId="49" fontId="28" fillId="0" borderId="0" xfId="0" applyNumberFormat="1" applyFont="1" applyAlignment="1">
      <alignment horizontal="left" vertical="top"/>
    </xf>
    <xf numFmtId="0" fontId="33" fillId="0" borderId="0" xfId="0" applyFont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49" fontId="32" fillId="0" borderId="0" xfId="0" applyNumberFormat="1" applyFont="1" applyAlignment="1">
      <alignment horizontal="left" vertical="top"/>
    </xf>
    <xf numFmtId="14" fontId="32" fillId="0" borderId="0" xfId="0" applyNumberFormat="1" applyFont="1" applyAlignment="1">
      <alignment horizontal="left" vertical="top"/>
    </xf>
    <xf numFmtId="0" fontId="33" fillId="0" borderId="0" xfId="0" applyFont="1" applyAlignment="1">
      <alignment wrapText="1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horizontal="left" vertical="top" wrapText="1"/>
    </xf>
    <xf numFmtId="49" fontId="33" fillId="0" borderId="0" xfId="0" applyNumberFormat="1" applyFont="1" applyAlignment="1">
      <alignment horizontal="left" vertical="top"/>
    </xf>
    <xf numFmtId="14" fontId="33" fillId="0" borderId="0" xfId="0" applyNumberFormat="1" applyFont="1" applyAlignment="1">
      <alignment horizontal="left" vertical="top"/>
    </xf>
    <xf numFmtId="0" fontId="32" fillId="0" borderId="0" xfId="0" applyFont="1"/>
    <xf numFmtId="0" fontId="32" fillId="0" borderId="0" xfId="0" applyFont="1" applyAlignment="1">
      <alignment wrapText="1"/>
    </xf>
    <xf numFmtId="0" fontId="32" fillId="0" borderId="0" xfId="0" applyFont="1" applyAlignment="1">
      <alignment vertical="top" wrapText="1"/>
    </xf>
    <xf numFmtId="0" fontId="23" fillId="0" borderId="1" xfId="0" applyFont="1" applyBorder="1" applyAlignment="1">
      <alignment wrapText="1"/>
    </xf>
    <xf numFmtId="0" fontId="34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 wrapText="1"/>
    </xf>
    <xf numFmtId="49" fontId="9" fillId="0" borderId="0" xfId="0" applyNumberFormat="1" applyFont="1" applyAlignment="1">
      <alignment horizontal="left" vertical="top" wrapText="1"/>
    </xf>
    <xf numFmtId="0" fontId="21" fillId="0" borderId="0" xfId="0" applyFont="1" applyAlignment="1">
      <alignment wrapTex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0" fillId="0" borderId="0" xfId="0" applyFont="1" applyAlignment="1">
      <alignment wrapText="1"/>
    </xf>
    <xf numFmtId="0" fontId="9" fillId="0" borderId="7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2" fillId="16" borderId="0" xfId="0" applyFont="1" applyFill="1" applyAlignment="1">
      <alignment horizontal="center" vertical="top"/>
    </xf>
    <xf numFmtId="0" fontId="13" fillId="16" borderId="0" xfId="0" applyFont="1" applyFill="1" applyAlignment="1">
      <alignment horizontal="left"/>
    </xf>
    <xf numFmtId="0" fontId="14" fillId="16" borderId="0" xfId="0" applyFont="1" applyFill="1" applyAlignment="1">
      <alignment horizontal="left" wrapText="1"/>
    </xf>
    <xf numFmtId="0" fontId="9" fillId="16" borderId="0" xfId="0" applyFont="1" applyFill="1" applyAlignment="1">
      <alignment horizontal="left" wrapText="1"/>
    </xf>
    <xf numFmtId="0" fontId="11" fillId="16" borderId="0" xfId="0" applyFont="1" applyFill="1" applyAlignment="1">
      <alignment horizontal="left"/>
    </xf>
    <xf numFmtId="0" fontId="13" fillId="16" borderId="0" xfId="0" applyFont="1" applyFill="1" applyAlignment="1">
      <alignment horizontal="left" vertical="top"/>
    </xf>
    <xf numFmtId="0" fontId="14" fillId="16" borderId="0" xfId="0" applyFont="1" applyFill="1" applyAlignment="1">
      <alignment horizontal="left" vertical="top" wrapText="1"/>
    </xf>
    <xf numFmtId="0" fontId="11" fillId="16" borderId="0" xfId="0" applyFont="1" applyFill="1" applyAlignment="1">
      <alignment wrapText="1"/>
    </xf>
    <xf numFmtId="0" fontId="9" fillId="16" borderId="0" xfId="0" applyFont="1" applyFill="1" applyAlignment="1">
      <alignment horizontal="left" vertical="top"/>
    </xf>
    <xf numFmtId="0" fontId="2" fillId="16" borderId="0" xfId="0" applyFont="1" applyFill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23" fillId="0" borderId="0" xfId="0" applyFont="1"/>
    <xf numFmtId="14" fontId="9" fillId="0" borderId="0" xfId="0" applyNumberFormat="1" applyFont="1"/>
    <xf numFmtId="0" fontId="11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35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wrapText="1"/>
    </xf>
    <xf numFmtId="14" fontId="8" fillId="0" borderId="0" xfId="0" applyNumberFormat="1" applyFont="1" applyAlignment="1">
      <alignment horizontal="left" vertical="top"/>
    </xf>
    <xf numFmtId="14" fontId="36" fillId="0" borderId="0" xfId="0" applyNumberFormat="1" applyFont="1" applyAlignment="1">
      <alignment horizontal="left" vertical="top"/>
    </xf>
    <xf numFmtId="0" fontId="38" fillId="0" borderId="0" xfId="0" applyFont="1" applyAlignment="1">
      <alignment horizontal="left" vertical="top"/>
    </xf>
    <xf numFmtId="49" fontId="8" fillId="0" borderId="0" xfId="0" applyNumberFormat="1" applyFont="1" applyAlignment="1">
      <alignment horizontal="left" vertical="top" wrapText="1"/>
    </xf>
    <xf numFmtId="0" fontId="39" fillId="0" borderId="0" xfId="0" applyFont="1" applyAlignment="1">
      <alignment horizontal="left" vertical="top" wrapText="1"/>
    </xf>
    <xf numFmtId="0" fontId="37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14" fontId="9" fillId="0" borderId="0" xfId="0" applyNumberFormat="1" applyFont="1" applyAlignment="1">
      <alignment wrapText="1"/>
    </xf>
    <xf numFmtId="0" fontId="41" fillId="6" borderId="10" xfId="0" applyFont="1" applyFill="1" applyBorder="1" applyAlignment="1">
      <alignment horizontal="left" vertical="top" wrapText="1"/>
    </xf>
    <xf numFmtId="0" fontId="2" fillId="6" borderId="0" xfId="0" applyFont="1" applyFill="1" applyAlignment="1">
      <alignment vertical="top" wrapText="1"/>
    </xf>
    <xf numFmtId="0" fontId="2" fillId="6" borderId="0" xfId="0" applyFont="1" applyFill="1" applyAlignment="1">
      <alignment wrapText="1"/>
    </xf>
    <xf numFmtId="0" fontId="42" fillId="6" borderId="0" xfId="0" applyFont="1" applyFill="1" applyAlignment="1">
      <alignment horizontal="left" vertical="top"/>
    </xf>
    <xf numFmtId="0" fontId="43" fillId="6" borderId="0" xfId="0" applyFont="1" applyFill="1" applyAlignment="1">
      <alignment vertical="top"/>
    </xf>
    <xf numFmtId="164" fontId="2" fillId="8" borderId="0" xfId="0" applyNumberFormat="1" applyFont="1" applyFill="1" applyAlignment="1">
      <alignment horizontal="left" vertical="top"/>
    </xf>
    <xf numFmtId="0" fontId="2" fillId="0" borderId="0" xfId="0" applyFont="1" applyAlignment="1">
      <alignment wrapText="1"/>
    </xf>
    <xf numFmtId="0" fontId="43" fillId="17" borderId="0" xfId="0" applyFont="1" applyFill="1"/>
    <xf numFmtId="0" fontId="44" fillId="0" borderId="0" xfId="0" applyFont="1"/>
    <xf numFmtId="0" fontId="45" fillId="18" borderId="0" xfId="0" applyFont="1" applyFill="1"/>
    <xf numFmtId="0" fontId="41" fillId="6" borderId="10" xfId="0" applyFont="1" applyFill="1" applyBorder="1" applyAlignment="1">
      <alignment vertical="top" wrapText="1"/>
    </xf>
    <xf numFmtId="0" fontId="42" fillId="6" borderId="0" xfId="0" applyFont="1" applyFill="1" applyAlignment="1">
      <alignment vertical="top"/>
    </xf>
    <xf numFmtId="14" fontId="2" fillId="6" borderId="0" xfId="0" applyNumberFormat="1" applyFont="1" applyFill="1" applyAlignment="1">
      <alignment vertical="top"/>
    </xf>
    <xf numFmtId="0" fontId="45" fillId="6" borderId="0" xfId="0" applyFont="1" applyFill="1" applyAlignment="1">
      <alignment vertical="top"/>
    </xf>
    <xf numFmtId="0" fontId="46" fillId="6" borderId="0" xfId="0" applyFont="1" applyFill="1" applyAlignment="1">
      <alignment vertical="top"/>
    </xf>
    <xf numFmtId="0" fontId="2" fillId="6" borderId="0" xfId="0" applyFont="1" applyFill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47" fillId="0" borderId="0" xfId="0" applyFont="1" applyAlignment="1">
      <alignment horizontal="left" vertical="top" wrapText="1"/>
    </xf>
    <xf numFmtId="0" fontId="48" fillId="0" borderId="0" xfId="0" applyFont="1" applyAlignment="1">
      <alignment vertical="top" wrapText="1"/>
    </xf>
    <xf numFmtId="0" fontId="48" fillId="0" borderId="0" xfId="0" applyFont="1" applyAlignment="1">
      <alignment horizontal="left" vertical="top"/>
    </xf>
    <xf numFmtId="0" fontId="2" fillId="6" borderId="0" xfId="0" applyFont="1" applyFill="1" applyAlignment="1">
      <alignment horizontal="left" vertical="top" wrapText="1"/>
    </xf>
    <xf numFmtId="0" fontId="49" fillId="0" borderId="0" xfId="0" applyFont="1" applyAlignment="1">
      <alignment horizontal="left" vertical="top"/>
    </xf>
    <xf numFmtId="0" fontId="9" fillId="19" borderId="0" xfId="0" applyFont="1" applyFill="1" applyAlignment="1">
      <alignment horizontal="center" vertical="top"/>
    </xf>
    <xf numFmtId="0" fontId="10" fillId="19" borderId="0" xfId="0" applyFont="1" applyFill="1" applyAlignment="1">
      <alignment horizontal="left" vertical="top"/>
    </xf>
    <xf numFmtId="0" fontId="9" fillId="19" borderId="0" xfId="0" applyFont="1" applyFill="1" applyAlignment="1">
      <alignment vertical="top"/>
    </xf>
    <xf numFmtId="0" fontId="9" fillId="19" borderId="0" xfId="0" applyFont="1" applyFill="1" applyAlignment="1">
      <alignment vertical="top" wrapText="1"/>
    </xf>
    <xf numFmtId="0" fontId="48" fillId="0" borderId="0" xfId="0" applyFont="1" applyAlignment="1">
      <alignment horizontal="left" vertical="top" wrapText="1"/>
    </xf>
    <xf numFmtId="0" fontId="50" fillId="0" borderId="0" xfId="0" applyFont="1" applyAlignment="1">
      <alignment horizontal="left" vertical="top"/>
    </xf>
    <xf numFmtId="0" fontId="9" fillId="19" borderId="0" xfId="0" applyFont="1" applyFill="1" applyAlignment="1">
      <alignment horizontal="left" vertical="top"/>
    </xf>
    <xf numFmtId="0" fontId="9" fillId="0" borderId="0" xfId="0" applyFont="1" applyAlignment="1">
      <alignment vertical="top" wrapText="1"/>
    </xf>
    <xf numFmtId="0" fontId="10" fillId="19" borderId="0" xfId="0" applyFont="1" applyFill="1" applyAlignment="1">
      <alignment vertical="top"/>
    </xf>
    <xf numFmtId="0" fontId="9" fillId="19" borderId="1" xfId="0" applyFont="1" applyFill="1" applyBorder="1" applyAlignment="1">
      <alignment vertical="top" wrapText="1"/>
    </xf>
    <xf numFmtId="0" fontId="9" fillId="19" borderId="0" xfId="0" applyFont="1" applyFill="1" applyAlignment="1">
      <alignment horizontal="left" vertical="top" wrapText="1"/>
    </xf>
    <xf numFmtId="49" fontId="48" fillId="0" borderId="0" xfId="0" applyNumberFormat="1" applyFont="1" applyAlignment="1">
      <alignment horizontal="left" vertical="top"/>
    </xf>
    <xf numFmtId="0" fontId="22" fillId="19" borderId="0" xfId="0" applyFont="1" applyFill="1" applyAlignment="1">
      <alignment horizontal="left" vertical="top"/>
    </xf>
    <xf numFmtId="0" fontId="23" fillId="19" borderId="0" xfId="0" applyFont="1" applyFill="1" applyAlignment="1">
      <alignment vertical="top" wrapText="1"/>
    </xf>
    <xf numFmtId="0" fontId="47" fillId="0" borderId="0" xfId="0" applyFont="1" applyAlignment="1">
      <alignment horizontal="left" vertical="top"/>
    </xf>
    <xf numFmtId="14" fontId="48" fillId="0" borderId="0" xfId="0" applyNumberFormat="1" applyFont="1" applyAlignment="1">
      <alignment horizontal="left" vertical="top"/>
    </xf>
    <xf numFmtId="0" fontId="11" fillId="19" borderId="0" xfId="0" applyFont="1" applyFill="1" applyAlignment="1">
      <alignment vertical="top" wrapText="1"/>
    </xf>
    <xf numFmtId="0" fontId="24" fillId="19" borderId="0" xfId="0" applyFont="1" applyFill="1" applyAlignment="1">
      <alignment horizontal="left" vertical="top"/>
    </xf>
    <xf numFmtId="0" fontId="48" fillId="0" borderId="0" xfId="0" applyFont="1" applyAlignment="1">
      <alignment vertical="top"/>
    </xf>
    <xf numFmtId="0" fontId="9" fillId="20" borderId="0" xfId="0" applyFont="1" applyFill="1" applyAlignment="1">
      <alignment horizontal="center" vertical="top"/>
    </xf>
    <xf numFmtId="0" fontId="10" fillId="20" borderId="0" xfId="0" applyFont="1" applyFill="1" applyAlignment="1">
      <alignment horizontal="left" vertical="top"/>
    </xf>
    <xf numFmtId="0" fontId="9" fillId="20" borderId="0" xfId="0" applyFont="1" applyFill="1" applyAlignment="1">
      <alignment horizontal="left" vertical="top" wrapText="1"/>
    </xf>
    <xf numFmtId="0" fontId="9" fillId="20" borderId="0" xfId="0" applyFont="1" applyFill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9" fillId="20" borderId="0" xfId="0" applyFont="1" applyFill="1" applyAlignment="1">
      <alignment vertical="top" wrapText="1"/>
    </xf>
    <xf numFmtId="14" fontId="50" fillId="0" borderId="0" xfId="0" applyNumberFormat="1" applyFont="1" applyAlignment="1">
      <alignment horizontal="left" vertical="top"/>
    </xf>
    <xf numFmtId="0" fontId="9" fillId="9" borderId="0" xfId="0" applyFont="1" applyFill="1" applyAlignment="1">
      <alignment horizontal="left" vertical="top"/>
    </xf>
    <xf numFmtId="0" fontId="9" fillId="3" borderId="0" xfId="0" applyFont="1" applyFill="1" applyAlignment="1">
      <alignment vertical="top" wrapText="1"/>
    </xf>
    <xf numFmtId="0" fontId="23" fillId="20" borderId="0" xfId="0" applyFont="1" applyFill="1" applyAlignment="1">
      <alignment horizontal="left" vertical="top" wrapText="1"/>
    </xf>
    <xf numFmtId="0" fontId="10" fillId="3" borderId="0" xfId="0" applyFont="1" applyFill="1" applyAlignment="1">
      <alignment vertical="top"/>
    </xf>
    <xf numFmtId="0" fontId="23" fillId="3" borderId="1" xfId="0" applyFont="1" applyFill="1" applyBorder="1" applyAlignment="1">
      <alignment horizontal="left" vertical="top" wrapText="1"/>
    </xf>
    <xf numFmtId="0" fontId="2" fillId="21" borderId="0" xfId="0" applyFont="1" applyFill="1"/>
    <xf numFmtId="0" fontId="9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10" fillId="22" borderId="1" xfId="0" applyFont="1" applyFill="1" applyBorder="1" applyAlignment="1">
      <alignment horizontal="left" vertical="top" wrapText="1"/>
    </xf>
    <xf numFmtId="0" fontId="48" fillId="0" borderId="1" xfId="0" applyFont="1" applyBorder="1" applyAlignment="1">
      <alignment horizontal="left" vertical="top" wrapText="1"/>
    </xf>
    <xf numFmtId="0" fontId="10" fillId="23" borderId="0" xfId="0" applyFont="1" applyFill="1" applyAlignment="1">
      <alignment horizontal="center" vertical="top"/>
    </xf>
    <xf numFmtId="0" fontId="23" fillId="3" borderId="0" xfId="0" applyFont="1" applyFill="1" applyAlignment="1">
      <alignment horizontal="left" vertical="top" wrapText="1"/>
    </xf>
    <xf numFmtId="0" fontId="10" fillId="24" borderId="0" xfId="0" applyFont="1" applyFill="1" applyAlignment="1">
      <alignment horizontal="left" vertical="top"/>
    </xf>
    <xf numFmtId="0" fontId="10" fillId="21" borderId="0" xfId="0" applyFont="1" applyFill="1" applyAlignment="1">
      <alignment horizontal="left" vertical="top"/>
    </xf>
    <xf numFmtId="14" fontId="48" fillId="0" borderId="0" xfId="0" applyNumberFormat="1" applyFont="1" applyAlignment="1">
      <alignment vertical="top"/>
    </xf>
    <xf numFmtId="0" fontId="10" fillId="10" borderId="0" xfId="0" applyFont="1" applyFill="1" applyAlignment="1">
      <alignment horizontal="left" vertical="top"/>
    </xf>
    <xf numFmtId="0" fontId="10" fillId="3" borderId="0" xfId="0" applyFont="1" applyFill="1" applyAlignment="1">
      <alignment horizontal="center" vertical="top"/>
    </xf>
    <xf numFmtId="0" fontId="8" fillId="25" borderId="0" xfId="0" applyFont="1" applyFill="1" applyAlignment="1">
      <alignment horizontal="left" vertical="top" wrapText="1"/>
    </xf>
    <xf numFmtId="0" fontId="51" fillId="0" borderId="0" xfId="0" applyFont="1" applyAlignment="1">
      <alignment horizontal="left" vertical="top" wrapText="1"/>
    </xf>
    <xf numFmtId="0" fontId="51" fillId="0" borderId="0" xfId="0" applyFont="1" applyAlignment="1">
      <alignment horizontal="left" vertical="top"/>
    </xf>
    <xf numFmtId="0" fontId="37" fillId="0" borderId="10" xfId="0" applyFont="1" applyBorder="1" applyAlignment="1">
      <alignment vertical="top" wrapText="1"/>
    </xf>
    <xf numFmtId="14" fontId="51" fillId="0" borderId="0" xfId="0" applyNumberFormat="1" applyFont="1" applyAlignment="1">
      <alignment horizontal="left" vertical="top"/>
    </xf>
    <xf numFmtId="0" fontId="35" fillId="26" borderId="0" xfId="0" applyFont="1" applyFill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49" fontId="5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51" fillId="0" borderId="3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/>
    </xf>
    <xf numFmtId="0" fontId="51" fillId="0" borderId="4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51" fillId="0" borderId="0" xfId="0" applyFont="1" applyAlignment="1">
      <alignment vertical="top" wrapText="1"/>
    </xf>
    <xf numFmtId="0" fontId="51" fillId="0" borderId="6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51" fillId="0" borderId="8" xfId="0" applyFont="1" applyBorder="1" applyAlignment="1">
      <alignment horizontal="left" vertical="top"/>
    </xf>
    <xf numFmtId="0" fontId="51" fillId="0" borderId="8" xfId="0" applyFont="1" applyBorder="1" applyAlignment="1">
      <alignment horizontal="left" vertical="top" wrapText="1"/>
    </xf>
    <xf numFmtId="0" fontId="52" fillId="0" borderId="0" xfId="0" applyFont="1"/>
    <xf numFmtId="0" fontId="53" fillId="27" borderId="11" xfId="0" applyFont="1" applyFill="1" applyBorder="1" applyAlignment="1">
      <alignment wrapText="1"/>
    </xf>
    <xf numFmtId="0" fontId="54" fillId="28" borderId="12" xfId="0" applyFont="1" applyFill="1" applyBorder="1" applyAlignment="1">
      <alignment wrapText="1"/>
    </xf>
    <xf numFmtId="0" fontId="55" fillId="29" borderId="13" xfId="0" applyFont="1" applyFill="1" applyBorder="1" applyAlignment="1">
      <alignment horizontal="left" vertical="top"/>
    </xf>
    <xf numFmtId="0" fontId="56" fillId="30" borderId="14" xfId="0" applyFont="1" applyFill="1" applyBorder="1" applyAlignment="1">
      <alignment wrapText="1"/>
    </xf>
    <xf numFmtId="0" fontId="57" fillId="31" borderId="15" xfId="0" applyFont="1" applyFill="1" applyBorder="1" applyAlignment="1">
      <alignment wrapText="1"/>
    </xf>
    <xf numFmtId="0" fontId="58" fillId="32" borderId="16" xfId="0" applyFont="1" applyFill="1" applyBorder="1" applyAlignment="1">
      <alignment horizontal="left" vertical="top"/>
    </xf>
    <xf numFmtId="0" fontId="59" fillId="33" borderId="17" xfId="0" applyFont="1" applyFill="1" applyBorder="1" applyAlignment="1">
      <alignment horizontal="left" vertical="top"/>
    </xf>
    <xf numFmtId="0" fontId="60" fillId="34" borderId="18" xfId="0" applyFont="1" applyFill="1" applyBorder="1" applyAlignment="1">
      <alignment wrapText="1"/>
    </xf>
    <xf numFmtId="0" fontId="61" fillId="35" borderId="19" xfId="0" applyFont="1" applyFill="1" applyBorder="1" applyAlignment="1">
      <alignment wrapText="1"/>
    </xf>
    <xf numFmtId="0" fontId="62" fillId="36" borderId="20" xfId="0" applyFont="1" applyFill="1" applyBorder="1"/>
    <xf numFmtId="0" fontId="63" fillId="37" borderId="21" xfId="0" applyFont="1" applyFill="1" applyBorder="1" applyAlignment="1">
      <alignment horizontal="left" vertical="top"/>
    </xf>
    <xf numFmtId="0" fontId="64" fillId="38" borderId="22" xfId="0" applyFont="1" applyFill="1" applyBorder="1"/>
    <xf numFmtId="0" fontId="65" fillId="39" borderId="23" xfId="0" applyFont="1" applyFill="1" applyBorder="1" applyAlignment="1">
      <alignment horizontal="left" vertical="top"/>
    </xf>
    <xf numFmtId="0" fontId="66" fillId="40" borderId="24" xfId="0" applyFont="1" applyFill="1" applyBorder="1" applyAlignment="1">
      <alignment wrapText="1"/>
    </xf>
    <xf numFmtId="0" fontId="67" fillId="41" borderId="25" xfId="0" applyFont="1" applyFill="1" applyBorder="1" applyAlignment="1">
      <alignment wrapText="1"/>
    </xf>
    <xf numFmtId="0" fontId="68" fillId="42" borderId="26" xfId="0" applyFont="1" applyFill="1" applyBorder="1" applyAlignment="1">
      <alignment wrapText="1"/>
    </xf>
    <xf numFmtId="0" fontId="69" fillId="43" borderId="27" xfId="0" applyFont="1" applyFill="1" applyBorder="1" applyAlignment="1">
      <alignment wrapText="1"/>
    </xf>
    <xf numFmtId="0" fontId="70" fillId="44" borderId="28" xfId="0" applyFont="1" applyFill="1" applyBorder="1" applyAlignment="1">
      <alignment wrapText="1"/>
    </xf>
    <xf numFmtId="0" fontId="71" fillId="45" borderId="29" xfId="0" applyFont="1" applyFill="1" applyBorder="1" applyAlignment="1">
      <alignment wrapText="1"/>
    </xf>
    <xf numFmtId="0" fontId="72" fillId="46" borderId="30" xfId="0" applyFont="1" applyFill="1" applyBorder="1" applyAlignment="1">
      <alignment wrapText="1"/>
    </xf>
    <xf numFmtId="0" fontId="73" fillId="47" borderId="31" xfId="0" applyFont="1" applyFill="1" applyBorder="1" applyAlignment="1">
      <alignment wrapText="1"/>
    </xf>
    <xf numFmtId="0" fontId="74" fillId="48" borderId="32" xfId="0" applyFont="1" applyFill="1" applyBorder="1" applyAlignment="1">
      <alignment wrapText="1"/>
    </xf>
    <xf numFmtId="0" fontId="75" fillId="49" borderId="33" xfId="0" applyFont="1" applyFill="1" applyBorder="1" applyAlignment="1">
      <alignment wrapText="1"/>
    </xf>
    <xf numFmtId="0" fontId="76" fillId="50" borderId="34" xfId="0" applyFont="1" applyFill="1" applyBorder="1" applyAlignment="1">
      <alignment horizontal="left" vertical="top"/>
    </xf>
    <xf numFmtId="0" fontId="77" fillId="51" borderId="35" xfId="0" applyFont="1" applyFill="1" applyBorder="1" applyAlignment="1">
      <alignment horizontal="left" vertical="top"/>
    </xf>
    <xf numFmtId="0" fontId="78" fillId="52" borderId="36" xfId="0" applyFont="1" applyFill="1" applyBorder="1" applyAlignment="1">
      <alignment wrapText="1"/>
    </xf>
    <xf numFmtId="0" fontId="79" fillId="53" borderId="37" xfId="0" applyFont="1" applyFill="1" applyBorder="1" applyAlignment="1">
      <alignment wrapText="1"/>
    </xf>
    <xf numFmtId="0" fontId="80" fillId="54" borderId="38" xfId="0" applyFont="1" applyFill="1" applyBorder="1" applyAlignment="1">
      <alignment wrapText="1"/>
    </xf>
    <xf numFmtId="0" fontId="81" fillId="55" borderId="39" xfId="0" applyFont="1" applyFill="1" applyBorder="1" applyAlignment="1">
      <alignment wrapText="1"/>
    </xf>
    <xf numFmtId="0" fontId="82" fillId="56" borderId="40" xfId="0" applyFont="1" applyFill="1" applyBorder="1" applyAlignment="1">
      <alignment wrapText="1"/>
    </xf>
    <xf numFmtId="0" fontId="83" fillId="57" borderId="41" xfId="0" applyFont="1" applyFill="1" applyBorder="1" applyAlignment="1">
      <alignment wrapText="1"/>
    </xf>
    <xf numFmtId="0" fontId="84" fillId="58" borderId="42" xfId="0" applyFont="1" applyFill="1" applyBorder="1" applyAlignment="1">
      <alignment wrapText="1"/>
    </xf>
    <xf numFmtId="0" fontId="85" fillId="59" borderId="43" xfId="0" applyFont="1" applyFill="1" applyBorder="1" applyAlignment="1">
      <alignment wrapText="1"/>
    </xf>
    <xf numFmtId="0" fontId="86" fillId="60" borderId="44" xfId="0" applyFont="1" applyFill="1" applyBorder="1" applyAlignment="1">
      <alignment wrapText="1"/>
    </xf>
    <xf numFmtId="0" fontId="87" fillId="61" borderId="45" xfId="0" applyFont="1" applyFill="1" applyBorder="1" applyAlignment="1">
      <alignment wrapText="1"/>
    </xf>
    <xf numFmtId="0" fontId="88" fillId="62" borderId="46" xfId="0" applyFont="1" applyFill="1" applyBorder="1" applyAlignment="1">
      <alignment wrapText="1"/>
    </xf>
    <xf numFmtId="0" fontId="89" fillId="63" borderId="47" xfId="0" applyFont="1" applyFill="1" applyBorder="1" applyAlignment="1">
      <alignment wrapText="1"/>
    </xf>
    <xf numFmtId="2" fontId="9" fillId="10" borderId="0" xfId="0" applyNumberFormat="1" applyFont="1" applyFill="1" applyAlignment="1">
      <alignment horizontal="left" vertical="top"/>
    </xf>
    <xf numFmtId="0" fontId="90" fillId="64" borderId="48" xfId="0" applyFont="1" applyFill="1" applyBorder="1" applyAlignment="1">
      <alignment wrapText="1"/>
    </xf>
    <xf numFmtId="0" fontId="91" fillId="65" borderId="49" xfId="0" applyFont="1" applyFill="1" applyBorder="1" applyAlignment="1">
      <alignment wrapText="1"/>
    </xf>
    <xf numFmtId="0" fontId="92" fillId="66" borderId="50" xfId="0" applyFont="1" applyFill="1" applyBorder="1" applyAlignment="1">
      <alignment horizontal="left" vertical="top"/>
    </xf>
    <xf numFmtId="0" fontId="93" fillId="67" borderId="51" xfId="0" applyFont="1" applyFill="1" applyBorder="1" applyAlignment="1">
      <alignment horizontal="left" vertical="top"/>
    </xf>
    <xf numFmtId="0" fontId="94" fillId="0" borderId="0" xfId="0" applyFont="1"/>
    <xf numFmtId="0" fontId="95" fillId="0" borderId="0" xfId="1" applyAlignment="1">
      <alignment wrapText="1"/>
    </xf>
    <xf numFmtId="0" fontId="9" fillId="68" borderId="0" xfId="0" applyFont="1" applyFill="1" applyAlignment="1">
      <alignment wrapText="1"/>
    </xf>
    <xf numFmtId="0" fontId="96" fillId="69" borderId="52" xfId="0" applyFont="1" applyFill="1" applyBorder="1" applyAlignment="1">
      <alignment wrapText="1"/>
    </xf>
    <xf numFmtId="0" fontId="97" fillId="70" borderId="53" xfId="0" applyFont="1" applyFill="1" applyBorder="1" applyAlignment="1">
      <alignment wrapText="1"/>
    </xf>
    <xf numFmtId="0" fontId="98" fillId="71" borderId="54" xfId="0" applyFont="1" applyFill="1" applyBorder="1" applyAlignment="1">
      <alignment horizontal="left" vertical="top"/>
    </xf>
    <xf numFmtId="0" fontId="99" fillId="72" borderId="55" xfId="0" applyFont="1" applyFill="1" applyBorder="1" applyAlignment="1">
      <alignment horizontal="left" vertical="top"/>
    </xf>
    <xf numFmtId="0" fontId="100" fillId="73" borderId="56" xfId="0" applyFont="1" applyFill="1" applyBorder="1"/>
    <xf numFmtId="0" fontId="101" fillId="74" borderId="57" xfId="0" applyFont="1" applyFill="1" applyBorder="1"/>
    <xf numFmtId="0" fontId="102" fillId="75" borderId="58" xfId="0" applyFont="1" applyFill="1" applyBorder="1"/>
    <xf numFmtId="0" fontId="103" fillId="76" borderId="59" xfId="0" applyFont="1" applyFill="1" applyBorder="1" applyAlignment="1">
      <alignment horizontal="left" vertical="top"/>
    </xf>
    <xf numFmtId="0" fontId="104" fillId="77" borderId="60" xfId="0" applyFont="1" applyFill="1" applyBorder="1" applyAlignment="1">
      <alignment horizontal="left" vertical="top"/>
    </xf>
    <xf numFmtId="0" fontId="105" fillId="78" borderId="61" xfId="0" applyFont="1" applyFill="1" applyBorder="1"/>
    <xf numFmtId="0" fontId="106" fillId="79" borderId="62" xfId="0" applyFont="1" applyFill="1" applyBorder="1"/>
    <xf numFmtId="0" fontId="107" fillId="80" borderId="63" xfId="0" applyFont="1" applyFill="1" applyBorder="1"/>
    <xf numFmtId="0" fontId="108" fillId="81" borderId="64" xfId="0" applyFont="1" applyFill="1" applyBorder="1"/>
    <xf numFmtId="0" fontId="109" fillId="82" borderId="65" xfId="0" applyFont="1" applyFill="1" applyBorder="1"/>
    <xf numFmtId="0" fontId="110" fillId="83" borderId="66" xfId="0" applyFont="1" applyFill="1" applyBorder="1"/>
    <xf numFmtId="0" fontId="111" fillId="84" borderId="67" xfId="0" applyFont="1" applyFill="1" applyBorder="1" applyAlignment="1">
      <alignment wrapText="1"/>
    </xf>
    <xf numFmtId="0" fontId="112" fillId="85" borderId="68" xfId="0" applyFont="1" applyFill="1" applyBorder="1" applyAlignment="1">
      <alignment wrapText="1"/>
    </xf>
    <xf numFmtId="0" fontId="113" fillId="86" borderId="69" xfId="0" applyFont="1" applyFill="1" applyBorder="1" applyAlignment="1">
      <alignment horizontal="left" vertical="top"/>
    </xf>
    <xf numFmtId="0" fontId="114" fillId="87" borderId="70" xfId="0" applyFont="1" applyFill="1" applyBorder="1" applyAlignment="1">
      <alignment horizontal="left" vertical="top"/>
    </xf>
    <xf numFmtId="0" fontId="115" fillId="88" borderId="71" xfId="0" applyFont="1" applyFill="1" applyBorder="1"/>
    <xf numFmtId="0" fontId="116" fillId="89" borderId="72" xfId="0" applyFont="1" applyFill="1" applyBorder="1"/>
    <xf numFmtId="0" fontId="117" fillId="90" borderId="73" xfId="0" applyFont="1" applyFill="1" applyBorder="1" applyAlignment="1">
      <alignment horizontal="left" vertical="top"/>
    </xf>
    <xf numFmtId="0" fontId="118" fillId="91" borderId="74" xfId="0" applyFont="1" applyFill="1" applyBorder="1" applyAlignment="1">
      <alignment horizontal="left" vertical="top"/>
    </xf>
    <xf numFmtId="0" fontId="119" fillId="92" borderId="75" xfId="0" applyFont="1" applyFill="1" applyBorder="1"/>
    <xf numFmtId="0" fontId="120" fillId="93" borderId="76" xfId="0" applyFont="1" applyFill="1" applyBorder="1"/>
    <xf numFmtId="0" fontId="121" fillId="94" borderId="77" xfId="0" applyFont="1" applyFill="1" applyBorder="1"/>
    <xf numFmtId="0" fontId="122" fillId="95" borderId="78" xfId="0" applyFont="1" applyFill="1" applyBorder="1"/>
    <xf numFmtId="0" fontId="123" fillId="96" borderId="79" xfId="0" applyFont="1" applyFill="1" applyBorder="1"/>
    <xf numFmtId="0" fontId="124" fillId="97" borderId="80" xfId="0" applyFont="1" applyFill="1" applyBorder="1"/>
    <xf numFmtId="0" fontId="125" fillId="98" borderId="81" xfId="0" applyFont="1" applyFill="1" applyBorder="1" applyAlignment="1">
      <alignment wrapText="1"/>
    </xf>
    <xf numFmtId="0" fontId="126" fillId="99" borderId="82" xfId="0" applyFont="1" applyFill="1" applyBorder="1" applyAlignment="1">
      <alignment wrapText="1"/>
    </xf>
    <xf numFmtId="0" fontId="127" fillId="100" borderId="83" xfId="0" applyFont="1" applyFill="1" applyBorder="1" applyAlignment="1">
      <alignment horizontal="left" vertical="top"/>
    </xf>
    <xf numFmtId="0" fontId="128" fillId="101" borderId="84" xfId="0" applyFont="1" applyFill="1" applyBorder="1" applyAlignment="1">
      <alignment horizontal="left" vertical="top"/>
    </xf>
    <xf numFmtId="0" fontId="129" fillId="102" borderId="85" xfId="0" applyFont="1" applyFill="1" applyBorder="1" applyAlignment="1">
      <alignment horizontal="left" vertical="top"/>
    </xf>
    <xf numFmtId="0" fontId="130" fillId="103" borderId="86" xfId="0" applyFont="1" applyFill="1" applyBorder="1" applyAlignment="1">
      <alignment horizontal="left" vertical="top"/>
    </xf>
    <xf numFmtId="0" fontId="131" fillId="104" borderId="87" xfId="0" applyFont="1" applyFill="1" applyBorder="1" applyAlignment="1">
      <alignment horizontal="left" vertical="top"/>
    </xf>
    <xf numFmtId="0" fontId="132" fillId="105" borderId="88" xfId="0" applyFont="1" applyFill="1" applyBorder="1" applyAlignment="1">
      <alignment horizontal="left" vertical="top"/>
    </xf>
    <xf numFmtId="0" fontId="133" fillId="106" borderId="89" xfId="0" applyFont="1" applyFill="1" applyBorder="1"/>
    <xf numFmtId="0" fontId="134" fillId="107" borderId="90" xfId="0" applyFont="1" applyFill="1" applyBorder="1"/>
    <xf numFmtId="0" fontId="135" fillId="108" borderId="91" xfId="0" applyFont="1" applyFill="1" applyBorder="1"/>
    <xf numFmtId="0" fontId="136" fillId="109" borderId="92" xfId="0" applyFont="1" applyFill="1" applyBorder="1"/>
    <xf numFmtId="0" fontId="137" fillId="110" borderId="93" xfId="0" applyFont="1" applyFill="1" applyBorder="1" applyAlignment="1">
      <alignment wrapText="1"/>
    </xf>
    <xf numFmtId="0" fontId="138" fillId="111" borderId="94" xfId="0" applyFont="1" applyFill="1" applyBorder="1" applyAlignment="1">
      <alignment wrapText="1"/>
    </xf>
    <xf numFmtId="0" fontId="139" fillId="112" borderId="95" xfId="0" applyFont="1" applyFill="1" applyBorder="1" applyAlignment="1">
      <alignment horizontal="left" vertical="top"/>
    </xf>
    <xf numFmtId="0" fontId="140" fillId="113" borderId="96" xfId="0" applyFont="1" applyFill="1" applyBorder="1" applyAlignment="1">
      <alignment horizontal="left" vertical="top"/>
    </xf>
    <xf numFmtId="0" fontId="141" fillId="114" borderId="97" xfId="0" applyFont="1" applyFill="1" applyBorder="1" applyAlignment="1">
      <alignment horizontal="left" vertical="top"/>
    </xf>
    <xf numFmtId="0" fontId="142" fillId="115" borderId="98" xfId="0" applyFont="1" applyFill="1" applyBorder="1" applyAlignment="1">
      <alignment horizontal="left" vertical="top"/>
    </xf>
    <xf numFmtId="0" fontId="143" fillId="116" borderId="99" xfId="0" applyFont="1" applyFill="1" applyBorder="1" applyAlignment="1">
      <alignment horizontal="left" vertical="top"/>
    </xf>
    <xf numFmtId="0" fontId="144" fillId="117" borderId="100" xfId="0" applyFont="1" applyFill="1" applyBorder="1" applyAlignment="1">
      <alignment horizontal="left" vertical="top"/>
    </xf>
    <xf numFmtId="0" fontId="145" fillId="118" borderId="101" xfId="0" applyFont="1" applyFill="1" applyBorder="1"/>
    <xf numFmtId="0" fontId="146" fillId="119" borderId="102" xfId="0" applyFont="1" applyFill="1" applyBorder="1"/>
    <xf numFmtId="0" fontId="147" fillId="120" borderId="103" xfId="0" applyFont="1" applyFill="1" applyBorder="1"/>
    <xf numFmtId="0" fontId="148" fillId="121" borderId="104" xfId="0" applyFont="1" applyFill="1" applyBorder="1"/>
    <xf numFmtId="0" fontId="149" fillId="122" borderId="105" xfId="0" applyFont="1" applyFill="1" applyBorder="1"/>
    <xf numFmtId="0" fontId="150" fillId="123" borderId="106" xfId="0" applyFont="1" applyFill="1" applyBorder="1"/>
    <xf numFmtId="0" fontId="151" fillId="124" borderId="107" xfId="0" applyFont="1" applyFill="1" applyBorder="1"/>
    <xf numFmtId="0" fontId="152" fillId="125" borderId="108" xfId="0" applyFont="1" applyFill="1" applyBorder="1"/>
    <xf numFmtId="0" fontId="153" fillId="126" borderId="109" xfId="0" applyFont="1" applyFill="1" applyBorder="1"/>
    <xf numFmtId="0" fontId="154" fillId="127" borderId="110" xfId="0" applyFont="1" applyFill="1" applyBorder="1"/>
    <xf numFmtId="0" fontId="155" fillId="128" borderId="111" xfId="0" applyFont="1" applyFill="1" applyBorder="1"/>
    <xf numFmtId="0" fontId="156" fillId="129" borderId="112" xfId="0" applyFont="1" applyFill="1" applyBorder="1"/>
    <xf numFmtId="0" fontId="157" fillId="130" borderId="113" xfId="0" applyFont="1" applyFill="1" applyBorder="1"/>
    <xf numFmtId="0" fontId="158" fillId="131" borderId="114" xfId="0" applyFont="1" applyFill="1" applyBorder="1"/>
    <xf numFmtId="0" fontId="159" fillId="132" borderId="115" xfId="0" applyFont="1" applyFill="1" applyBorder="1"/>
    <xf numFmtId="0" fontId="160" fillId="133" borderId="116" xfId="0" applyFont="1" applyFill="1" applyBorder="1"/>
    <xf numFmtId="0" fontId="161" fillId="134" borderId="117" xfId="0" applyFont="1" applyFill="1" applyBorder="1"/>
    <xf numFmtId="0" fontId="162" fillId="135" borderId="118" xfId="0" applyFont="1" applyFill="1" applyBorder="1"/>
    <xf numFmtId="0" fontId="163" fillId="136" borderId="119" xfId="0" applyFont="1" applyFill="1" applyBorder="1"/>
    <xf numFmtId="0" fontId="164" fillId="137" borderId="120" xfId="0" applyFont="1" applyFill="1" applyBorder="1"/>
    <xf numFmtId="0" fontId="165" fillId="138" borderId="121" xfId="0" applyFont="1" applyFill="1" applyBorder="1"/>
    <xf numFmtId="0" fontId="166" fillId="139" borderId="122" xfId="0" applyFont="1" applyFill="1" applyBorder="1"/>
    <xf numFmtId="0" fontId="167" fillId="140" borderId="123" xfId="0" applyFont="1" applyFill="1" applyBorder="1"/>
    <xf numFmtId="0" fontId="168" fillId="141" borderId="124" xfId="0" applyFont="1" applyFill="1" applyBorder="1"/>
    <xf numFmtId="0" fontId="169" fillId="142" borderId="125" xfId="0" applyFont="1" applyFill="1" applyBorder="1"/>
    <xf numFmtId="0" fontId="170" fillId="143" borderId="126" xfId="0" applyFont="1" applyFill="1" applyBorder="1"/>
    <xf numFmtId="0" fontId="171" fillId="144" borderId="127" xfId="0" applyFont="1" applyFill="1" applyBorder="1"/>
    <xf numFmtId="0" fontId="172" fillId="145" borderId="128" xfId="0" applyFont="1" applyFill="1" applyBorder="1"/>
    <xf numFmtId="0" fontId="173" fillId="146" borderId="129" xfId="0" applyFont="1" applyFill="1" applyBorder="1"/>
    <xf numFmtId="0" fontId="174" fillId="147" borderId="130" xfId="0" applyFont="1" applyFill="1" applyBorder="1"/>
    <xf numFmtId="0" fontId="175" fillId="148" borderId="131" xfId="0" applyFont="1" applyFill="1" applyBorder="1"/>
    <xf numFmtId="0" fontId="176" fillId="149" borderId="132" xfId="0" applyFont="1" applyFill="1" applyBorder="1"/>
    <xf numFmtId="0" fontId="177" fillId="150" borderId="133" xfId="0" applyFont="1" applyFill="1" applyBorder="1"/>
    <xf numFmtId="0" fontId="178" fillId="151" borderId="134" xfId="0" applyFont="1" applyFill="1" applyBorder="1"/>
    <xf numFmtId="0" fontId="179" fillId="152" borderId="135" xfId="0" applyFont="1" applyFill="1" applyBorder="1"/>
    <xf numFmtId="0" fontId="180" fillId="153" borderId="136" xfId="0" applyFont="1" applyFill="1" applyBorder="1"/>
    <xf numFmtId="0" fontId="25" fillId="0" borderId="0" xfId="0" applyFont="1" applyAlignment="1">
      <alignment vertical="top" wrapText="1"/>
    </xf>
    <xf numFmtId="0" fontId="25" fillId="0" borderId="0" xfId="0" applyFont="1"/>
    <xf numFmtId="0" fontId="25" fillId="16" borderId="0" xfId="0" applyFont="1" applyFill="1" applyAlignment="1">
      <alignment wrapText="1"/>
    </xf>
    <xf numFmtId="0" fontId="181" fillId="154" borderId="0" xfId="0" applyFont="1" applyFill="1" applyAlignment="1">
      <alignment horizontal="left"/>
    </xf>
    <xf numFmtId="0" fontId="9" fillId="155" borderId="0" xfId="0" applyFont="1" applyFill="1" applyAlignment="1">
      <alignment horizontal="center" vertical="top"/>
    </xf>
    <xf numFmtId="0" fontId="182" fillId="0" borderId="0" xfId="0" applyFont="1" applyAlignment="1">
      <alignment vertical="center"/>
    </xf>
    <xf numFmtId="0" fontId="9" fillId="21" borderId="0" xfId="0" applyFont="1" applyFill="1" applyAlignment="1">
      <alignment horizontal="center" vertical="top"/>
    </xf>
    <xf numFmtId="0" fontId="10" fillId="21" borderId="0" xfId="0" applyFont="1" applyFill="1" applyAlignment="1">
      <alignment vertical="top"/>
    </xf>
    <xf numFmtId="0" fontId="9" fillId="156" borderId="0" xfId="0" applyFont="1" applyFill="1" applyAlignment="1">
      <alignment horizontal="center" vertical="top"/>
    </xf>
    <xf numFmtId="0" fontId="10" fillId="156" borderId="1" xfId="0" applyFont="1" applyFill="1" applyBorder="1" applyAlignment="1">
      <alignment horizontal="left" vertical="top" wrapText="1"/>
    </xf>
    <xf numFmtId="0" fontId="10" fillId="157" borderId="0" xfId="0" applyFont="1" applyFill="1" applyAlignment="1">
      <alignment horizontal="center" vertical="top"/>
    </xf>
    <xf numFmtId="0" fontId="9" fillId="157" borderId="0" xfId="0" applyFont="1" applyFill="1" applyAlignment="1">
      <alignment horizontal="left" vertical="top" wrapText="1"/>
    </xf>
    <xf numFmtId="0" fontId="9" fillId="158" borderId="0" xfId="0" applyFont="1" applyFill="1" applyAlignment="1">
      <alignment horizontal="center" vertical="top"/>
    </xf>
    <xf numFmtId="0" fontId="10" fillId="158" borderId="0" xfId="0" applyFont="1" applyFill="1" applyAlignment="1">
      <alignment horizontal="left" vertical="top"/>
    </xf>
    <xf numFmtId="0" fontId="10" fillId="158" borderId="0" xfId="0" applyFont="1" applyFill="1" applyAlignment="1">
      <alignment horizontal="center" vertical="top"/>
    </xf>
    <xf numFmtId="0" fontId="23" fillId="158" borderId="0" xfId="0" applyFont="1" applyFill="1" applyAlignment="1">
      <alignment vertical="top"/>
    </xf>
    <xf numFmtId="0" fontId="10" fillId="158" borderId="1" xfId="0" applyFont="1" applyFill="1" applyBorder="1" applyAlignment="1">
      <alignment horizontal="left" vertical="top" wrapText="1"/>
    </xf>
    <xf numFmtId="0" fontId="10" fillId="68" borderId="0" xfId="0" applyFont="1" applyFill="1" applyAlignment="1">
      <alignment horizontal="left" vertical="top"/>
    </xf>
    <xf numFmtId="0" fontId="9" fillId="68" borderId="0" xfId="0" applyFont="1" applyFill="1" applyAlignment="1">
      <alignment horizontal="center" vertical="top"/>
    </xf>
    <xf numFmtId="0" fontId="0" fillId="0" borderId="10" xfId="0" applyBorder="1" applyAlignment="1">
      <alignment horizontal="left" vertical="top" wrapText="1"/>
    </xf>
    <xf numFmtId="14" fontId="9" fillId="0" borderId="0" xfId="0" applyNumberFormat="1" applyFont="1" applyAlignment="1">
      <alignment horizontal="left" vertical="top" wrapText="1"/>
    </xf>
    <xf numFmtId="0" fontId="9" fillId="10" borderId="0" xfId="0" applyFont="1" applyFill="1" applyAlignment="1">
      <alignment horizontal="left" vertical="top"/>
    </xf>
    <xf numFmtId="14" fontId="9" fillId="10" borderId="0" xfId="0" applyNumberFormat="1" applyFont="1" applyFill="1" applyAlignment="1">
      <alignment horizontal="left" vertical="top" wrapText="1"/>
    </xf>
    <xf numFmtId="0" fontId="183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3808632</xdr:colOff>
      <xdr:row>7</xdr:row>
      <xdr:rowOff>157388</xdr:rowOff>
    </xdr:from>
    <xdr:to>
      <xdr:col>3</xdr:col>
      <xdr:colOff>344653</xdr:colOff>
      <xdr:row>26</xdr:row>
      <xdr:rowOff>126139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403ADF-6856-9D19-1392-019ED857D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6418" y="2343602"/>
          <a:ext cx="9372092" cy="3588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mailto:bern.sozialarbeiterin1b@diartis.ch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S17"/>
  <sheetViews>
    <sheetView zoomScaleNormal="100" workbookViewId="0">
      <selection activeCell="H1" sqref="H1"/>
    </sheetView>
  </sheetViews>
  <sheetFormatPr defaultRowHeight="14.25" customHeight="1"/>
  <cols>
    <col min="1" max="1" width="4.85546875" style="1" customWidth="1"/>
    <col min="2" max="2" width="44.140625" style="2" customWidth="1"/>
    <col min="3" max="3" width="34.7109375" style="2" customWidth="1"/>
    <col min="4" max="4" width="9.140625" style="2" customWidth="1"/>
    <col min="5" max="5" width="9.85546875" style="3" customWidth="1"/>
    <col min="6" max="6" width="7.7109375" style="2" customWidth="1"/>
    <col min="7" max="7" width="11.28515625" style="2" customWidth="1"/>
    <col min="8" max="8" width="14.28515625" style="2" bestFit="1" customWidth="1"/>
    <col min="9" max="9" width="10.5703125" style="2" customWidth="1"/>
    <col min="10" max="10" width="5" style="2" customWidth="1"/>
    <col min="11" max="11" width="11.42578125" style="2" customWidth="1"/>
    <col min="12" max="12" width="4.7109375" style="2" customWidth="1"/>
    <col min="13" max="13" width="24.42578125" style="2" customWidth="1"/>
    <col min="14" max="14" width="9.42578125" style="2" customWidth="1"/>
    <col min="15" max="15" width="13.85546875" style="2" customWidth="1"/>
    <col min="16" max="16" width="3" style="2" customWidth="1"/>
    <col min="17" max="17" width="15" style="2" customWidth="1"/>
    <col min="18" max="18" width="12" style="4" customWidth="1"/>
    <col min="19" max="19" width="6.28515625" style="4" customWidth="1"/>
    <col min="20" max="20" width="10.28515625" style="2" customWidth="1"/>
    <col min="21" max="22" width="11.42578125" style="2" customWidth="1"/>
    <col min="23" max="23" width="11.42578125" style="5" customWidth="1"/>
    <col min="24" max="24" width="11.42578125" style="2" customWidth="1"/>
    <col min="25" max="25" width="11.42578125" style="5" customWidth="1"/>
    <col min="26" max="26" width="11.42578125" style="2" customWidth="1"/>
    <col min="27" max="27" width="11.42578125" style="5" customWidth="1"/>
    <col min="28" max="28" width="11.42578125" style="2" customWidth="1"/>
    <col min="29" max="29" width="11.42578125" style="5" customWidth="1"/>
    <col min="30" max="30" width="11.42578125" style="2" customWidth="1"/>
    <col min="31" max="31" width="11.42578125" style="5" customWidth="1"/>
    <col min="32" max="32" width="11.42578125" style="2" customWidth="1"/>
    <col min="33" max="33" width="11.42578125" style="5" customWidth="1"/>
    <col min="34" max="34" width="20" style="2" customWidth="1"/>
    <col min="35" max="35" width="50" style="2" customWidth="1"/>
    <col min="36" max="36" width="20" style="2" customWidth="1"/>
    <col min="37" max="37" width="50" style="2" customWidth="1"/>
    <col min="38" max="38" width="20" style="2" customWidth="1"/>
    <col min="39" max="39" width="50" style="2" customWidth="1"/>
    <col min="40" max="40" width="20" style="2" customWidth="1"/>
    <col min="41" max="41" width="50" style="2" customWidth="1"/>
    <col min="42" max="42" width="20" style="2" customWidth="1"/>
    <col min="43" max="43" width="50" style="2" customWidth="1"/>
    <col min="44" max="44" width="20" style="2" customWidth="1"/>
    <col min="45" max="45" width="50" style="2" customWidth="1"/>
    <col min="46" max="46" width="20" style="2" customWidth="1"/>
    <col min="47" max="47" width="50" style="2" customWidth="1"/>
    <col min="48" max="48" width="20" style="2" customWidth="1"/>
    <col min="49" max="49" width="50" style="2" customWidth="1"/>
    <col min="50" max="50" width="20" style="2" customWidth="1"/>
    <col min="51" max="51" width="50" style="2" customWidth="1"/>
    <col min="52" max="52" width="20" style="2" customWidth="1"/>
    <col min="53" max="53" width="50" style="2" customWidth="1"/>
    <col min="54" max="54" width="20" style="2" customWidth="1"/>
    <col min="55" max="55" width="50" style="2" customWidth="1"/>
    <col min="56" max="56" width="20" style="2" customWidth="1"/>
    <col min="57" max="57" width="50" style="2" customWidth="1"/>
    <col min="58" max="58" width="20" style="2" customWidth="1"/>
    <col min="59" max="59" width="50" style="2" customWidth="1"/>
    <col min="60" max="60" width="20" style="2" customWidth="1"/>
    <col min="61" max="61" width="50" style="2" customWidth="1"/>
    <col min="62" max="62" width="20" style="2" customWidth="1"/>
    <col min="63" max="63" width="50" style="2" customWidth="1"/>
    <col min="64" max="64" width="20" style="2" customWidth="1"/>
    <col min="65" max="65" width="50" style="2" customWidth="1"/>
    <col min="66" max="66" width="20" style="2" customWidth="1"/>
    <col min="67" max="67" width="50" style="2" customWidth="1"/>
    <col min="68" max="68" width="20" style="2" customWidth="1"/>
    <col min="69" max="69" width="50" style="2" customWidth="1"/>
    <col min="70" max="70" width="20" style="2" customWidth="1"/>
    <col min="71" max="71" width="50" style="2" customWidth="1"/>
    <col min="72" max="16384" width="9.140625" style="2"/>
  </cols>
  <sheetData>
    <row r="1" spans="1:71" ht="27" customHeight="1">
      <c r="A1" s="6" t="s">
        <v>0</v>
      </c>
      <c r="B1" s="6" t="s">
        <v>1</v>
      </c>
      <c r="C1" s="6" t="s">
        <v>2</v>
      </c>
      <c r="D1" s="6" t="s">
        <v>3</v>
      </c>
      <c r="E1" s="7"/>
      <c r="F1" s="2" t="s">
        <v>4</v>
      </c>
      <c r="G1" s="32">
        <f>5*60*1000*SpeedFaktor</f>
        <v>300000</v>
      </c>
      <c r="H1" s="2">
        <v>500</v>
      </c>
      <c r="S1" s="8" t="s">
        <v>5</v>
      </c>
      <c r="T1" s="9" t="s">
        <v>6</v>
      </c>
      <c r="U1" s="11" t="s">
        <v>7</v>
      </c>
      <c r="V1" s="11" t="s">
        <v>12</v>
      </c>
      <c r="W1" s="201" t="s">
        <v>8</v>
      </c>
      <c r="X1" s="11" t="s">
        <v>13</v>
      </c>
      <c r="Y1" s="201" t="s">
        <v>8</v>
      </c>
      <c r="Z1" s="11" t="s">
        <v>15</v>
      </c>
      <c r="AA1" s="201" t="s">
        <v>8</v>
      </c>
      <c r="AB1" s="11" t="s">
        <v>17</v>
      </c>
      <c r="AC1" s="201" t="s">
        <v>8</v>
      </c>
      <c r="AD1" s="11" t="s">
        <v>18</v>
      </c>
      <c r="AE1" s="201" t="s">
        <v>8</v>
      </c>
      <c r="AF1" s="11" t="s">
        <v>19</v>
      </c>
      <c r="AG1" s="201" t="s">
        <v>8</v>
      </c>
      <c r="AH1" s="272" t="s">
        <v>353</v>
      </c>
      <c r="AI1" s="273" t="s">
        <v>352</v>
      </c>
      <c r="AJ1" s="275" t="s">
        <v>354</v>
      </c>
      <c r="AK1" s="276" t="s">
        <v>352</v>
      </c>
      <c r="AL1" s="279" t="s">
        <v>355</v>
      </c>
      <c r="AM1" s="280" t="s">
        <v>352</v>
      </c>
      <c r="AN1" s="285" t="s">
        <v>357</v>
      </c>
      <c r="AO1" s="286" t="s">
        <v>352</v>
      </c>
      <c r="AP1" s="287" t="s">
        <v>358</v>
      </c>
      <c r="AQ1" s="288" t="s">
        <v>352</v>
      </c>
      <c r="AR1" s="289" t="s">
        <v>359</v>
      </c>
      <c r="AS1" s="290" t="s">
        <v>352</v>
      </c>
      <c r="AT1" s="291" t="s">
        <v>360</v>
      </c>
      <c r="AU1" s="292" t="s">
        <v>352</v>
      </c>
      <c r="AV1" s="293" t="s">
        <v>361</v>
      </c>
      <c r="AW1" s="294" t="s">
        <v>352</v>
      </c>
      <c r="AX1" s="297" t="s">
        <v>362</v>
      </c>
      <c r="AY1" s="298" t="s">
        <v>352</v>
      </c>
      <c r="AZ1" s="299" t="s">
        <v>363</v>
      </c>
      <c r="BA1" s="300" t="s">
        <v>352</v>
      </c>
      <c r="BB1" s="301" t="s">
        <v>364</v>
      </c>
      <c r="BC1" s="302" t="s">
        <v>352</v>
      </c>
      <c r="BD1" s="303" t="s">
        <v>365</v>
      </c>
      <c r="BE1" s="304" t="s">
        <v>352</v>
      </c>
      <c r="BF1" s="305" t="s">
        <v>366</v>
      </c>
      <c r="BG1" s="306" t="s">
        <v>352</v>
      </c>
      <c r="BH1" s="307" t="s">
        <v>367</v>
      </c>
      <c r="BI1" s="308" t="s">
        <v>352</v>
      </c>
      <c r="BJ1" s="310" t="s">
        <v>369</v>
      </c>
      <c r="BK1" s="311" t="s">
        <v>352</v>
      </c>
      <c r="BL1" s="317" t="s">
        <v>377</v>
      </c>
      <c r="BM1" s="318" t="s">
        <v>352</v>
      </c>
      <c r="BN1" s="332" t="s">
        <v>380</v>
      </c>
      <c r="BO1" s="333" t="s">
        <v>352</v>
      </c>
      <c r="BP1" s="346" t="s">
        <v>382</v>
      </c>
      <c r="BQ1" s="347" t="s">
        <v>352</v>
      </c>
      <c r="BR1" s="358" t="s">
        <v>387</v>
      </c>
      <c r="BS1" s="359" t="s">
        <v>352</v>
      </c>
    </row>
    <row r="2" spans="1:71" s="11" customFormat="1" ht="14.25" customHeight="1">
      <c r="A2" s="1">
        <v>1</v>
      </c>
      <c r="B2" s="2" t="s">
        <v>20</v>
      </c>
      <c r="C2" s="12" t="s">
        <v>22</v>
      </c>
      <c r="D2" s="2"/>
      <c r="E2" s="1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4"/>
      <c r="S2" s="14"/>
      <c r="T2" s="2">
        <v>3063</v>
      </c>
      <c r="U2" s="2">
        <v>1257</v>
      </c>
      <c r="V2" s="2">
        <v>955</v>
      </c>
      <c r="W2" s="16">
        <f t="shared" ref="W2:Y4" si="0">V2/$T2</f>
        <v>0.31178583088475353</v>
      </c>
      <c r="X2" s="2">
        <v>869</v>
      </c>
      <c r="Y2" s="16">
        <f t="shared" si="0"/>
        <v>0.28370878223963436</v>
      </c>
      <c r="Z2" s="2">
        <v>1139</v>
      </c>
      <c r="AA2" s="16">
        <f t="shared" ref="AA2" si="1">Z2/$T2</f>
        <v>0.37185765589291542</v>
      </c>
      <c r="AB2" s="2">
        <v>1036</v>
      </c>
      <c r="AC2" s="16">
        <f t="shared" ref="AC2" si="2">AB2/$T2</f>
        <v>0.33823049298073782</v>
      </c>
      <c r="AD2" s="2">
        <v>1365</v>
      </c>
      <c r="AE2" s="16">
        <f t="shared" ref="AE2:AE4" si="3">AD2/$AD2</f>
        <v>1</v>
      </c>
      <c r="AF2" s="2">
        <v>578</v>
      </c>
      <c r="AG2" s="16">
        <f t="shared" ref="AG2" si="4">AF2/$T2</f>
        <v>0.18870388507998695</v>
      </c>
      <c r="AH2" s="11">
        <v>1536</v>
      </c>
      <c r="AJ2" s="11">
        <v>1579</v>
      </c>
      <c r="AL2" s="11">
        <v>1694</v>
      </c>
      <c r="AN2" s="11">
        <v>1577</v>
      </c>
      <c r="AP2" s="11">
        <v>1530</v>
      </c>
      <c r="AR2" s="11">
        <v>1597</v>
      </c>
      <c r="AT2" s="11">
        <v>1577</v>
      </c>
      <c r="AV2" s="11">
        <v>1537</v>
      </c>
      <c r="AX2" s="11">
        <v>1741</v>
      </c>
      <c r="AZ2" s="11">
        <v>1556</v>
      </c>
      <c r="BB2" s="11">
        <v>1556</v>
      </c>
      <c r="BD2" s="11">
        <v>1584</v>
      </c>
      <c r="BF2" s="11">
        <v>1619</v>
      </c>
      <c r="BH2" s="11">
        <v>1570</v>
      </c>
      <c r="BJ2" s="11">
        <v>1517</v>
      </c>
      <c r="BL2" s="11">
        <v>924</v>
      </c>
      <c r="BN2" s="11">
        <v>948</v>
      </c>
      <c r="BP2" s="11">
        <v>895</v>
      </c>
      <c r="BR2" s="11">
        <v>1212</v>
      </c>
      <c r="BS2" s="11" t="s">
        <v>388</v>
      </c>
    </row>
    <row r="3" spans="1:71" s="11" customFormat="1" ht="14.25" customHeight="1" thickBot="1">
      <c r="A3" s="1">
        <v>3</v>
      </c>
      <c r="B3" s="2" t="s">
        <v>23</v>
      </c>
      <c r="C3" s="17" t="s">
        <v>24</v>
      </c>
      <c r="D3" s="2"/>
      <c r="E3" s="1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8"/>
      <c r="S3" s="18"/>
      <c r="T3" s="2">
        <v>7444</v>
      </c>
      <c r="U3" s="2">
        <v>8520</v>
      </c>
      <c r="V3" s="2">
        <v>4134</v>
      </c>
      <c r="W3" s="16">
        <f t="shared" si="0"/>
        <v>0.55534658785599145</v>
      </c>
      <c r="X3" s="2">
        <v>4061</v>
      </c>
      <c r="Y3" s="16">
        <f t="shared" si="0"/>
        <v>0.54554003224073078</v>
      </c>
      <c r="Z3" s="2">
        <v>9115</v>
      </c>
      <c r="AA3" s="16">
        <f t="shared" ref="AA3" si="5">Z3/$T3</f>
        <v>1.2244760881246641</v>
      </c>
      <c r="AB3" s="2">
        <v>14909</v>
      </c>
      <c r="AC3" s="16">
        <f t="shared" ref="AC3" si="6">AB3/$T3</f>
        <v>2.0028210639441162</v>
      </c>
      <c r="AD3" s="2">
        <v>13083</v>
      </c>
      <c r="AE3" s="16">
        <f t="shared" si="3"/>
        <v>1</v>
      </c>
      <c r="AF3" s="2">
        <v>3579</v>
      </c>
      <c r="AG3" s="16">
        <f t="shared" ref="AG3" si="7">AF3/$T3</f>
        <v>0.4807898979043525</v>
      </c>
      <c r="AH3" s="11">
        <v>5988</v>
      </c>
      <c r="AJ3" s="11">
        <v>5325</v>
      </c>
      <c r="AL3" s="11">
        <v>7119</v>
      </c>
      <c r="AN3" s="11">
        <v>6887</v>
      </c>
      <c r="AP3" s="11">
        <v>6478</v>
      </c>
      <c r="AR3" s="11">
        <v>5652</v>
      </c>
      <c r="AT3" s="11">
        <v>6187</v>
      </c>
      <c r="AV3" s="11">
        <v>7178</v>
      </c>
      <c r="AX3" s="11">
        <v>6887</v>
      </c>
      <c r="AZ3" s="11">
        <v>5810</v>
      </c>
      <c r="BB3" s="11">
        <v>7446</v>
      </c>
      <c r="BD3" s="11">
        <v>6682</v>
      </c>
      <c r="BF3" s="11">
        <v>5985</v>
      </c>
      <c r="BH3" s="11">
        <v>5513</v>
      </c>
      <c r="BJ3" s="11">
        <v>5105</v>
      </c>
      <c r="BL3" s="11">
        <v>6005</v>
      </c>
      <c r="BN3" s="11">
        <v>7947</v>
      </c>
      <c r="BP3" s="11">
        <v>5962</v>
      </c>
      <c r="BR3" s="11">
        <v>7666</v>
      </c>
      <c r="BS3" s="11" t="s">
        <v>388</v>
      </c>
    </row>
    <row r="4" spans="1:71" s="11" customFormat="1" ht="15.75" customHeight="1" thickBot="1">
      <c r="A4" s="19">
        <v>4</v>
      </c>
      <c r="B4" s="20" t="s">
        <v>25</v>
      </c>
      <c r="C4" s="21" t="str">
        <f>E4</f>
        <v>{"username":"Bern.Sachbearbeiterin@diartis.ch","password":"XXxa22?pdTA66-S@","url":p.AventisURL,"version":"2025.4.244-dev"}</v>
      </c>
      <c r="D4" s="22" t="s">
        <v>395</v>
      </c>
      <c r="E4" s="22" t="str">
        <f>F4&amp;G4&amp;H4&amp;I4&amp;J4&amp;K4&amp;L4&amp;M4&amp;N4&amp;O4&amp;P4</f>
        <v>{"username":"Bern.Sachbearbeiterin@diartis.ch","password":"XXxa22?pdTA66-S@","url":p.AventisURL,"version":"2025.4.244-dev"}</v>
      </c>
      <c r="F4" s="21" t="s">
        <v>27</v>
      </c>
      <c r="G4" s="23" t="s">
        <v>28</v>
      </c>
      <c r="H4" s="22" t="s">
        <v>29</v>
      </c>
      <c r="I4" s="23" t="s">
        <v>30</v>
      </c>
      <c r="J4" s="22" t="s">
        <v>31</v>
      </c>
      <c r="K4" s="23" t="s">
        <v>32</v>
      </c>
      <c r="L4" s="22" t="s">
        <v>33</v>
      </c>
      <c r="M4" s="314" t="s">
        <v>371</v>
      </c>
      <c r="N4" s="22" t="s">
        <v>34</v>
      </c>
      <c r="O4" s="22"/>
      <c r="P4" s="22"/>
      <c r="Q4" s="22"/>
      <c r="R4" s="14" t="s">
        <v>35</v>
      </c>
      <c r="S4" s="24"/>
      <c r="T4" s="22">
        <v>447</v>
      </c>
      <c r="U4" s="22">
        <v>0</v>
      </c>
      <c r="V4" s="2">
        <v>891</v>
      </c>
      <c r="W4" s="16">
        <f t="shared" si="0"/>
        <v>1.9932885906040267</v>
      </c>
      <c r="X4" s="2">
        <v>793</v>
      </c>
      <c r="Y4" s="16">
        <f t="shared" si="0"/>
        <v>1.7740492170022371</v>
      </c>
      <c r="Z4" s="2">
        <v>1069</v>
      </c>
      <c r="AA4" s="16">
        <f t="shared" ref="AA4" si="8">Z4/$T4</f>
        <v>2.3914988814317675</v>
      </c>
      <c r="AB4" s="2">
        <v>710</v>
      </c>
      <c r="AC4" s="16">
        <f t="shared" ref="AC4" si="9">AB4/$T4</f>
        <v>1.5883668903803132</v>
      </c>
      <c r="AD4" s="2">
        <v>1479</v>
      </c>
      <c r="AE4" s="16">
        <f t="shared" si="3"/>
        <v>1</v>
      </c>
      <c r="AF4" s="2">
        <v>0</v>
      </c>
      <c r="AG4" s="16">
        <f t="shared" ref="AG4" si="10">AF4/$T4</f>
        <v>0</v>
      </c>
      <c r="AH4" s="11">
        <v>752</v>
      </c>
      <c r="AJ4" s="277">
        <v>0</v>
      </c>
      <c r="AK4" s="278" t="s">
        <v>383</v>
      </c>
      <c r="AL4" s="11">
        <v>883</v>
      </c>
      <c r="AN4" s="11">
        <v>786</v>
      </c>
      <c r="AP4" s="11">
        <v>836</v>
      </c>
      <c r="AR4" s="11">
        <v>860</v>
      </c>
      <c r="AT4" s="11">
        <v>713</v>
      </c>
      <c r="AV4" s="295">
        <v>0</v>
      </c>
      <c r="AW4" s="296" t="s">
        <v>383</v>
      </c>
      <c r="AX4" s="11">
        <v>679</v>
      </c>
      <c r="AZ4" s="11">
        <v>471</v>
      </c>
      <c r="BB4" s="11">
        <v>457</v>
      </c>
      <c r="BD4" s="11">
        <v>673</v>
      </c>
      <c r="BF4" s="11">
        <v>2154</v>
      </c>
      <c r="BH4" s="11">
        <v>673</v>
      </c>
      <c r="BJ4" s="312">
        <v>0</v>
      </c>
      <c r="BK4" s="313" t="s">
        <v>370</v>
      </c>
      <c r="BL4" s="11">
        <v>513</v>
      </c>
      <c r="BN4" s="11">
        <v>353</v>
      </c>
      <c r="BP4" s="348">
        <v>0</v>
      </c>
      <c r="BQ4" s="349" t="s">
        <v>383</v>
      </c>
      <c r="BR4" s="360">
        <v>0</v>
      </c>
      <c r="BS4" s="361" t="s">
        <v>389</v>
      </c>
    </row>
    <row r="5" spans="1:71" ht="14.25" customHeight="1">
      <c r="W5" s="26"/>
      <c r="Y5" s="26"/>
      <c r="AA5" s="26"/>
      <c r="AC5" s="26"/>
      <c r="AE5" s="26"/>
      <c r="AG5" s="26"/>
    </row>
    <row r="6" spans="1:71" ht="14.25" customHeight="1">
      <c r="W6" s="26"/>
      <c r="Y6" s="26"/>
      <c r="AA6" s="26"/>
      <c r="AC6" s="26"/>
      <c r="AE6" s="26"/>
      <c r="AG6" s="26"/>
    </row>
    <row r="7" spans="1:71" ht="14.25" customHeight="1">
      <c r="W7" s="26"/>
      <c r="Y7" s="26"/>
      <c r="AA7" s="26"/>
      <c r="AC7" s="26"/>
      <c r="AE7" s="26"/>
      <c r="AG7" s="26"/>
    </row>
    <row r="8" spans="1:71" ht="14.25" customHeight="1">
      <c r="W8" s="26"/>
      <c r="Y8" s="26"/>
      <c r="AA8" s="26"/>
      <c r="AC8" s="26"/>
      <c r="AE8" s="26"/>
      <c r="AG8" s="26"/>
    </row>
    <row r="9" spans="1:71" ht="14.25" customHeight="1">
      <c r="W9" s="26"/>
      <c r="Y9" s="26"/>
      <c r="AA9" s="26"/>
      <c r="AC9" s="26"/>
      <c r="AE9" s="26"/>
      <c r="AG9" s="26"/>
    </row>
    <row r="10" spans="1:71">
      <c r="R10" s="8"/>
      <c r="S10" s="8"/>
    </row>
    <row r="11" spans="1:71"/>
    <row r="12" spans="1:71"/>
    <row r="13" spans="1:71"/>
    <row r="14" spans="1:71"/>
    <row r="15" spans="1:71"/>
    <row r="16" spans="1:71" ht="29.25">
      <c r="B16"/>
      <c r="D16" s="2" t="s">
        <v>368</v>
      </c>
      <c r="E16" s="3">
        <v>1</v>
      </c>
    </row>
    <row r="17" spans="1:1" ht="14.25" customHeight="1">
      <c r="A17" s="2"/>
    </row>
  </sheetData>
  <conditionalFormatting sqref="W2:W95 AE2:AE95 Y2:Y4 AA2:AA4 AC2:AC4 AG2:AG95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Y5:Y95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A5:AA95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C5:AC9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DDBD-C45C-4701-9647-9A820D33EDFE}">
  <sheetPr>
    <tabColor rgb="FF92D050"/>
  </sheetPr>
  <dimension ref="A1:AX141"/>
  <sheetViews>
    <sheetView zoomScale="70" zoomScaleNormal="70" workbookViewId="0">
      <pane xSplit="2" ySplit="1" topLeftCell="C2" activePane="bottomRight" state="frozen"/>
      <selection activeCell="E16" sqref="E16"/>
      <selection pane="topRight" activeCell="E16" sqref="E16"/>
      <selection pane="bottomLeft" activeCell="E16" sqref="E16"/>
      <selection pane="bottomRight" activeCell="H1" sqref="H1"/>
    </sheetView>
  </sheetViews>
  <sheetFormatPr defaultColWidth="9.140625" defaultRowHeight="16.5" customHeight="1"/>
  <cols>
    <col min="1" max="1" width="9.140625" style="27" customWidth="1"/>
    <col min="2" max="2" width="49.28515625" style="28" customWidth="1"/>
    <col min="3" max="3" width="153" style="29" customWidth="1"/>
    <col min="4" max="4" width="7.140625" style="30" customWidth="1"/>
    <col min="5" max="5" width="9.5703125" style="212" customWidth="1"/>
    <col min="6" max="6" width="18.140625" style="205" customWidth="1"/>
    <col min="7" max="7" width="20.85546875" style="205" customWidth="1"/>
    <col min="8" max="8" width="24.5703125" style="205" customWidth="1"/>
    <col min="9" max="9" width="39.140625" style="205" customWidth="1"/>
    <col min="10" max="10" width="5.85546875" style="205" customWidth="1"/>
    <col min="11" max="11" width="22.7109375" style="205" customWidth="1"/>
    <col min="12" max="12" width="5.85546875" style="205" customWidth="1"/>
    <col min="13" max="13" width="29.28515625" style="205" customWidth="1"/>
    <col min="14" max="14" width="5.85546875" style="205" customWidth="1"/>
    <col min="15" max="15" width="37.28515625" style="205" customWidth="1"/>
    <col min="16" max="22" width="5.85546875" style="205" customWidth="1"/>
    <col min="23" max="27" width="5.85546875" style="30" customWidth="1"/>
    <col min="28" max="33" width="9.140625" style="30" customWidth="1"/>
    <col min="34" max="34" width="30" style="30" customWidth="1"/>
    <col min="35" max="35" width="50" style="30" customWidth="1"/>
    <col min="36" max="36" width="30" style="30" customWidth="1"/>
    <col min="37" max="37" width="14.7109375" style="260" customWidth="1"/>
    <col min="38" max="38" width="30" style="30" customWidth="1"/>
    <col min="39" max="39" width="50" style="30" customWidth="1"/>
    <col min="40" max="40" width="30" style="30" customWidth="1"/>
    <col min="41" max="41" width="50" style="30" customWidth="1"/>
    <col min="42" max="42" width="30" style="30" customWidth="1"/>
    <col min="43" max="43" width="14.7109375" style="260" customWidth="1"/>
    <col min="44" max="44" width="30" style="30" customWidth="1"/>
    <col min="45" max="45" width="14.7109375" style="260" customWidth="1"/>
    <col min="46" max="46" width="30" style="30" customWidth="1"/>
    <col min="47" max="47" width="14.7109375" style="260" customWidth="1"/>
    <col min="48" max="48" width="20" style="30" customWidth="1"/>
    <col min="49" max="49" width="14.7109375" style="260" customWidth="1"/>
    <col min="50" max="50" width="20" style="30" customWidth="1"/>
    <col min="51" max="16384" width="9.140625" style="30"/>
  </cols>
  <sheetData>
    <row r="1" spans="1:50" ht="16.5" customHeight="1">
      <c r="A1" s="33" t="s">
        <v>0</v>
      </c>
      <c r="B1" s="33" t="s">
        <v>1</v>
      </c>
      <c r="C1" s="33" t="s">
        <v>2</v>
      </c>
      <c r="D1" s="202" t="s">
        <v>3</v>
      </c>
      <c r="E1" s="203" t="s">
        <v>250</v>
      </c>
      <c r="F1" s="402" t="s">
        <v>4</v>
      </c>
      <c r="G1" s="32">
        <f>5*60*1000*SpeedFaktor</f>
        <v>300000</v>
      </c>
      <c r="H1" s="204">
        <v>10</v>
      </c>
      <c r="J1" s="204"/>
      <c r="L1" s="204"/>
      <c r="N1" s="204"/>
      <c r="P1" s="204"/>
      <c r="R1" s="204"/>
      <c r="T1" s="204"/>
      <c r="V1" s="204"/>
      <c r="AG1" s="30" t="s">
        <v>5</v>
      </c>
      <c r="AH1" s="30" t="s">
        <v>343</v>
      </c>
      <c r="AI1" s="30" t="s">
        <v>231</v>
      </c>
      <c r="AJ1" s="30" t="s">
        <v>344</v>
      </c>
      <c r="AK1" s="206" t="s">
        <v>8</v>
      </c>
      <c r="AL1" s="30" t="s">
        <v>345</v>
      </c>
      <c r="AM1" s="30" t="s">
        <v>14</v>
      </c>
      <c r="AN1" s="30" t="s">
        <v>346</v>
      </c>
      <c r="AO1" s="30" t="s">
        <v>16</v>
      </c>
      <c r="AP1" s="30" t="s">
        <v>347</v>
      </c>
      <c r="AQ1" s="206" t="s">
        <v>8</v>
      </c>
      <c r="AR1" s="30" t="s">
        <v>348</v>
      </c>
      <c r="AS1" s="206" t="s">
        <v>8</v>
      </c>
      <c r="AT1" s="30" t="s">
        <v>349</v>
      </c>
      <c r="AU1" s="206" t="s">
        <v>8</v>
      </c>
      <c r="AV1" s="207" t="s">
        <v>350</v>
      </c>
      <c r="AW1" s="206" t="s">
        <v>8</v>
      </c>
      <c r="AX1" s="207" t="s">
        <v>351</v>
      </c>
    </row>
    <row r="2" spans="1:50" ht="16.5" customHeight="1" thickBot="1">
      <c r="A2" s="208">
        <v>1</v>
      </c>
      <c r="B2" s="209" t="s">
        <v>20</v>
      </c>
      <c r="C2" s="210" t="s">
        <v>22</v>
      </c>
      <c r="D2" s="211"/>
      <c r="E2" s="212" t="str">
        <f>F2&amp;G2&amp;H2&amp;I2&amp;J2&amp;K2&amp;L2&amp;M2&amp;N2&amp;O2&amp;P2&amp;Q2&amp;R2&amp;S2&amp;T2&amp;U2&amp;V2&amp;W2&amp;X2</f>
        <v>{"url":"https://dev.aventis.swiss"}</v>
      </c>
      <c r="F2" s="204" t="s">
        <v>37</v>
      </c>
      <c r="G2" s="213" t="s">
        <v>38</v>
      </c>
      <c r="H2" s="204" t="s">
        <v>34</v>
      </c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11"/>
      <c r="X2" s="211"/>
      <c r="Y2" s="211"/>
      <c r="Z2" s="211"/>
      <c r="AA2" s="211"/>
      <c r="AB2" s="211"/>
      <c r="AC2" s="211"/>
      <c r="AD2" s="211"/>
      <c r="AE2" s="211"/>
      <c r="AF2" s="214"/>
      <c r="AG2" s="211"/>
      <c r="AH2" s="211">
        <v>268</v>
      </c>
      <c r="AI2" s="211"/>
      <c r="AJ2" s="215">
        <v>337</v>
      </c>
      <c r="AK2" s="191">
        <f>AJ2/$AH2</f>
        <v>1.2574626865671641</v>
      </c>
      <c r="AL2" s="215">
        <v>271</v>
      </c>
      <c r="AM2" s="215"/>
      <c r="AN2" s="215">
        <v>513</v>
      </c>
      <c r="AO2" s="215"/>
      <c r="AP2" s="215">
        <v>508</v>
      </c>
      <c r="AQ2" s="191">
        <f>AP2/$AH2</f>
        <v>1.8955223880597014</v>
      </c>
      <c r="AR2" s="215">
        <v>1200</v>
      </c>
      <c r="AS2" s="191">
        <f>AR2/$AH2</f>
        <v>4.4776119402985071</v>
      </c>
      <c r="AT2" s="215">
        <v>632</v>
      </c>
      <c r="AU2" s="191">
        <f>AT2/$AH2</f>
        <v>2.3582089552238807</v>
      </c>
      <c r="AV2" s="30">
        <v>293</v>
      </c>
      <c r="AW2" s="191">
        <f>AV2/$AH2</f>
        <v>1.0932835820895523</v>
      </c>
      <c r="AX2" s="30">
        <v>259</v>
      </c>
    </row>
    <row r="3" spans="1:50" ht="16.5" customHeight="1" thickBot="1">
      <c r="A3" s="208">
        <v>2</v>
      </c>
      <c r="B3" s="216" t="s">
        <v>21</v>
      </c>
      <c r="C3" s="217" t="s">
        <v>39</v>
      </c>
      <c r="D3" s="211"/>
      <c r="E3" s="212" t="str">
        <f>F3&amp;G3&amp;H3&amp;I3&amp;J3&amp;K3&amp;L3&amp;M3&amp;N3&amp;O3&amp;P3&amp;Q3&amp;R3&amp;S3&amp;T3&amp;U3&amp;V3&amp;W3&amp;X3</f>
        <v>{"url":"https://dev.aventis.swiss"}</v>
      </c>
      <c r="F3" s="204" t="s">
        <v>37</v>
      </c>
      <c r="G3" s="213" t="s">
        <v>38</v>
      </c>
      <c r="H3" s="204" t="s">
        <v>34</v>
      </c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11"/>
      <c r="X3" s="211"/>
      <c r="Y3" s="211"/>
      <c r="Z3" s="211"/>
      <c r="AA3" s="211"/>
      <c r="AB3" s="211"/>
      <c r="AC3" s="211"/>
      <c r="AD3" s="211"/>
      <c r="AE3" s="211"/>
      <c r="AF3" s="214"/>
      <c r="AG3" s="211"/>
      <c r="AH3" s="211">
        <v>1028</v>
      </c>
      <c r="AI3" s="211"/>
      <c r="AJ3" s="215">
        <v>1091</v>
      </c>
      <c r="AK3" s="191">
        <f t="shared" ref="AK3:AK37" si="0">AJ3/$AH3</f>
        <v>1.061284046692607</v>
      </c>
      <c r="AL3" s="215">
        <v>1001</v>
      </c>
      <c r="AM3" s="215"/>
      <c r="AN3" s="215">
        <v>1085</v>
      </c>
      <c r="AO3" s="215"/>
      <c r="AP3" s="215">
        <v>1404</v>
      </c>
      <c r="AQ3" s="191">
        <f t="shared" ref="AQ3:AQ37" si="1">AP3/$AH3</f>
        <v>1.3657587548638133</v>
      </c>
      <c r="AR3" s="215">
        <v>1120</v>
      </c>
      <c r="AS3" s="191">
        <f t="shared" ref="AS3:AS37" si="2">AR3/$AH3</f>
        <v>1.0894941634241244</v>
      </c>
      <c r="AT3" s="215">
        <v>569</v>
      </c>
      <c r="AU3" s="191">
        <f t="shared" ref="AU3:AW37" si="3">AT3/$AH3</f>
        <v>0.55350194552529186</v>
      </c>
      <c r="AV3" s="30">
        <v>1121</v>
      </c>
      <c r="AW3" s="191">
        <f t="shared" si="3"/>
        <v>1.0904669260700388</v>
      </c>
      <c r="AX3" s="30">
        <v>1006</v>
      </c>
    </row>
    <row r="4" spans="1:50" ht="16.5" customHeight="1">
      <c r="A4" s="208">
        <v>2</v>
      </c>
      <c r="B4" s="209" t="s">
        <v>23</v>
      </c>
      <c r="C4" s="218" t="str">
        <f>E4</f>
        <v>{"username":"bern.sozialarbeiterin1a@diartis.ch","password":"SMze97-jkSJ59!F.","fullname":"Sozialarbeiterin 1A Bern","team":"Sozialarbeit Bern 1"}</v>
      </c>
      <c r="D4" s="211"/>
      <c r="E4" s="212" t="str">
        <f>F4&amp;G4&amp;H4&amp;I4&amp;J4&amp;K4&amp;L4&amp;M4&amp;N4&amp;O4&amp;P4&amp;Q4&amp;R4&amp;S4&amp;T4&amp;U4&amp;V4&amp;W4&amp;X4</f>
        <v>{"username":"bern.sozialarbeiterin1a@diartis.ch","password":"SMze97-jkSJ59!F.","fullname":"Sozialarbeiterin 1A Bern","team":"Sozialarbeit Bern 1"}</v>
      </c>
      <c r="F4" s="204" t="s">
        <v>27</v>
      </c>
      <c r="G4" s="204" t="s">
        <v>41</v>
      </c>
      <c r="H4" s="204" t="s">
        <v>29</v>
      </c>
      <c r="I4" s="204" t="s">
        <v>42</v>
      </c>
      <c r="J4" s="204" t="s">
        <v>43</v>
      </c>
      <c r="K4" s="204" t="s">
        <v>44</v>
      </c>
      <c r="L4" s="204" t="s">
        <v>45</v>
      </c>
      <c r="M4" s="204" t="s">
        <v>46</v>
      </c>
      <c r="N4" s="204" t="s">
        <v>34</v>
      </c>
      <c r="O4" s="204"/>
      <c r="P4" s="204"/>
      <c r="Q4" s="204"/>
      <c r="R4" s="204"/>
      <c r="S4" s="204"/>
      <c r="T4" s="204"/>
      <c r="U4" s="204"/>
      <c r="V4" s="204"/>
      <c r="W4" s="211"/>
      <c r="X4" s="211"/>
      <c r="Y4" s="211"/>
      <c r="Z4" s="211"/>
      <c r="AA4" s="211"/>
      <c r="AB4" s="211"/>
      <c r="AC4" s="211"/>
      <c r="AD4" s="211"/>
      <c r="AE4" s="211"/>
      <c r="AF4" s="209"/>
      <c r="AG4" s="211"/>
      <c r="AH4" s="211">
        <v>3012</v>
      </c>
      <c r="AI4" s="211"/>
      <c r="AJ4" s="215">
        <v>3014</v>
      </c>
      <c r="AK4" s="191">
        <f t="shared" si="0"/>
        <v>1.00066401062417</v>
      </c>
      <c r="AL4" s="215">
        <v>3004</v>
      </c>
      <c r="AM4" s="215"/>
      <c r="AN4" s="215">
        <v>3033</v>
      </c>
      <c r="AO4" s="215"/>
      <c r="AP4" s="215">
        <v>3021</v>
      </c>
      <c r="AQ4" s="191">
        <f t="shared" si="1"/>
        <v>1.0029880478087649</v>
      </c>
      <c r="AR4" s="215">
        <v>3046</v>
      </c>
      <c r="AS4" s="191">
        <f t="shared" si="2"/>
        <v>1.0112881806108898</v>
      </c>
      <c r="AT4" s="215">
        <v>3010</v>
      </c>
      <c r="AU4" s="191">
        <f t="shared" si="3"/>
        <v>0.99933598937583001</v>
      </c>
      <c r="AV4" s="30">
        <v>3008</v>
      </c>
      <c r="AW4" s="191">
        <f t="shared" si="3"/>
        <v>0.99867197875166003</v>
      </c>
      <c r="AX4" s="30">
        <v>3018</v>
      </c>
    </row>
    <row r="5" spans="1:50" ht="16.5" customHeight="1">
      <c r="A5" s="208">
        <v>3</v>
      </c>
      <c r="B5" s="209" t="s">
        <v>47</v>
      </c>
      <c r="C5" s="211" t="str">
        <f>E5</f>
        <v>{"name":p.FamilyName2,"vorname":p.ManFirstName2,"ahvNumber":"","geburtsdatum":""}</v>
      </c>
      <c r="D5" s="211"/>
      <c r="E5" s="212" t="str">
        <f>F5&amp;G5&amp;H5&amp;I5&amp;J5&amp;K5&amp;L5&amp;M5&amp;N5&amp;O5&amp;P5&amp;Q5&amp;R5&amp;S5&amp;T5&amp;U5&amp;V5&amp;W5&amp;X5</f>
        <v>{"name":p.FamilyName2,"vorname":p.ManFirstName2,"ahvNumber":"","geburtsdatum":""}</v>
      </c>
      <c r="F5" s="212" t="s">
        <v>48</v>
      </c>
      <c r="G5" s="205" t="str">
        <f>G45</f>
        <v>p.FamilyName2</v>
      </c>
      <c r="H5" s="204" t="s">
        <v>49</v>
      </c>
      <c r="I5" s="205" t="str">
        <f>H$44</f>
        <v>p.ManFirstName2</v>
      </c>
      <c r="J5" s="204" t="s">
        <v>50</v>
      </c>
      <c r="K5" s="204"/>
      <c r="L5" s="204" t="s">
        <v>51</v>
      </c>
      <c r="M5" s="219"/>
      <c r="N5" s="204" t="s">
        <v>34</v>
      </c>
      <c r="O5" s="204"/>
      <c r="P5" s="204"/>
      <c r="Q5" s="204"/>
      <c r="R5" s="204"/>
      <c r="S5" s="204"/>
      <c r="T5" s="204"/>
      <c r="U5" s="204"/>
      <c r="V5" s="204"/>
      <c r="W5" s="211"/>
      <c r="X5" s="211"/>
      <c r="Y5" s="220" t="s">
        <v>52</v>
      </c>
      <c r="Z5" s="211"/>
      <c r="AA5" s="211"/>
      <c r="AB5" s="211"/>
      <c r="AC5" s="211"/>
      <c r="AD5" s="211"/>
      <c r="AE5" s="211"/>
      <c r="AF5" s="214"/>
      <c r="AG5" s="211"/>
      <c r="AH5" s="211">
        <v>4526</v>
      </c>
      <c r="AI5" s="211"/>
      <c r="AJ5" s="215">
        <v>4447</v>
      </c>
      <c r="AK5" s="191">
        <f t="shared" si="0"/>
        <v>0.98254529385771106</v>
      </c>
      <c r="AL5" s="215">
        <v>5688</v>
      </c>
      <c r="AM5" s="215"/>
      <c r="AN5" s="215">
        <v>11496</v>
      </c>
      <c r="AO5" s="215"/>
      <c r="AP5" s="215">
        <v>11052</v>
      </c>
      <c r="AQ5" s="191">
        <f t="shared" si="1"/>
        <v>2.4418912947414935</v>
      </c>
      <c r="AR5" s="215">
        <v>17524</v>
      </c>
      <c r="AS5" s="191">
        <f t="shared" si="2"/>
        <v>3.8718515245249669</v>
      </c>
      <c r="AT5" s="215">
        <v>3672</v>
      </c>
      <c r="AU5" s="191">
        <f t="shared" si="3"/>
        <v>0.81131241714538227</v>
      </c>
      <c r="AV5" s="30">
        <v>4852</v>
      </c>
      <c r="AW5" s="191">
        <f t="shared" si="3"/>
        <v>1.0720282810428634</v>
      </c>
      <c r="AX5" s="30">
        <v>4692</v>
      </c>
    </row>
    <row r="6" spans="1:50" ht="17.25" customHeight="1">
      <c r="A6" s="208">
        <v>4</v>
      </c>
      <c r="B6" s="214" t="s">
        <v>53</v>
      </c>
      <c r="C6" s="221" t="str">
        <f ca="1">E6</f>
        <v>{"name":p.FamilyName2,"vorname":p.ManFirstName2,"ahvNumber":p.AHVNumber5,"language":"Deutsch","zivilstand":"ledig","zivilStandSeit":"28.07.2025","geburtsdatum":"4.5.1962","national":"Frankreich","gender":"männlich","aufenthalt":"","aufGultigVon":"03.10.2025","aufGueltigBis":"13.02.2026"}</v>
      </c>
      <c r="D6" s="214"/>
      <c r="E6" s="212" t="str">
        <f ca="1">F6&amp;G6&amp;H6&amp;I6&amp;J6&amp;K6&amp;L6&amp;M6&amp;N6&amp;O6&amp;P6&amp;Q6&amp;R6&amp;S6&amp;T6&amp;U6&amp;V6&amp;W6&amp;X6&amp;Y6&amp;Z6&amp;AA6&amp;AB6&amp;AC6&amp;AD6&amp;AE6</f>
        <v>{"name":p.FamilyName2,"vorname":p.ManFirstName2,"ahvNumber":p.AHVNumber5,"language":"Deutsch","zivilstand":"ledig","zivilStandSeit":"28.07.2025","geburtsdatum":"4.5.1962","national":"Frankreich","gender":"männlich","aufenthalt":"","aufGultigVon":"03.10.2025","aufGueltigBis":"13.02.2026"}</v>
      </c>
      <c r="F6" s="204" t="s">
        <v>48</v>
      </c>
      <c r="G6" s="205" t="str">
        <f>G5</f>
        <v>p.FamilyName2</v>
      </c>
      <c r="H6" s="204" t="s">
        <v>49</v>
      </c>
      <c r="I6" s="205" t="str">
        <f>H$44</f>
        <v>p.ManFirstName2</v>
      </c>
      <c r="J6" s="204" t="s">
        <v>54</v>
      </c>
      <c r="K6" s="205" t="str">
        <f>I44</f>
        <v>p.AHVNumber5</v>
      </c>
      <c r="L6" s="204" t="s">
        <v>55</v>
      </c>
      <c r="M6" s="219" t="s">
        <v>56</v>
      </c>
      <c r="N6" s="204" t="s">
        <v>57</v>
      </c>
      <c r="O6" s="204" t="s">
        <v>58</v>
      </c>
      <c r="P6" s="222" t="s">
        <v>59</v>
      </c>
      <c r="Q6" s="205" t="str">
        <f ca="1">TEXT(TEXT(TODAY()-100,"DD")&amp;"."&amp;TEXT(TODAY()-100,"MM")&amp;"."&amp;TEXT(TODAY()-100,"YYYY"),"DD.MM.YYYY")</f>
        <v>28.07.2025</v>
      </c>
      <c r="R6" s="204" t="s">
        <v>60</v>
      </c>
      <c r="S6" s="223" t="str">
        <f ca="1">TEXT(RANDBETWEEN(1,28)&amp;"."&amp;RANDBETWEEN(1,12)&amp;"."&amp;TEXT(TODAY()-23115,"YYYY"),"DD.MM.YYYY")</f>
        <v>4.5.1962</v>
      </c>
      <c r="T6" s="204" t="s">
        <v>61</v>
      </c>
      <c r="U6" s="204" t="s">
        <v>62</v>
      </c>
      <c r="V6" s="204" t="s">
        <v>63</v>
      </c>
      <c r="W6" s="214" t="s">
        <v>64</v>
      </c>
      <c r="X6" s="224" t="s">
        <v>65</v>
      </c>
      <c r="Y6" s="220"/>
      <c r="Z6" s="225" t="s">
        <v>66</v>
      </c>
      <c r="AA6" s="214" t="str">
        <f ca="1">TEXT(TEXT(TODAY()-33,"DD")&amp;"."&amp;TEXT(TODAY()-33,"MM")&amp;"."&amp;TEXT(TODAY()-33,"YYYY"),"DD.MM.YYYY")</f>
        <v>03.10.2025</v>
      </c>
      <c r="AB6" s="225" t="s">
        <v>67</v>
      </c>
      <c r="AC6" s="214" t="str">
        <f ca="1">TEXT(TEXT(TODAY()+100,"DD")&amp;"."&amp;TEXT(TODAY()+100,"MM")&amp;"."&amp;TEXT(TODAY()+100,"YYYY"),"DD.MM.YYYY")</f>
        <v>13.02.2026</v>
      </c>
      <c r="AD6" s="214" t="s">
        <v>34</v>
      </c>
      <c r="AE6" s="214"/>
      <c r="AF6" s="214"/>
      <c r="AG6" s="214"/>
      <c r="AH6" s="211">
        <v>2086</v>
      </c>
      <c r="AI6" s="211"/>
      <c r="AJ6" s="215">
        <v>1871</v>
      </c>
      <c r="AK6" s="191">
        <f t="shared" si="0"/>
        <v>0.89693192713326941</v>
      </c>
      <c r="AL6" s="215">
        <v>1804</v>
      </c>
      <c r="AM6" s="215"/>
      <c r="AN6" s="215">
        <v>4532</v>
      </c>
      <c r="AO6" s="215"/>
      <c r="AP6" s="215">
        <v>4671</v>
      </c>
      <c r="AQ6" s="191">
        <f t="shared" si="1"/>
        <v>2.2392138063279003</v>
      </c>
      <c r="AR6" s="215">
        <v>4104</v>
      </c>
      <c r="AS6" s="191">
        <f t="shared" si="2"/>
        <v>1.9674017257909875</v>
      </c>
      <c r="AT6" s="215">
        <v>1293</v>
      </c>
      <c r="AU6" s="191">
        <f t="shared" si="3"/>
        <v>0.6198465963566635</v>
      </c>
      <c r="AV6" s="30">
        <v>2003</v>
      </c>
      <c r="AW6" s="191">
        <f t="shared" si="3"/>
        <v>0.96021093000958768</v>
      </c>
      <c r="AX6" s="30">
        <v>2059</v>
      </c>
    </row>
    <row r="7" spans="1:50" ht="16.5" customHeight="1">
      <c r="A7" s="208">
        <v>5</v>
      </c>
      <c r="B7" s="209" t="s">
        <v>68</v>
      </c>
      <c r="C7" s="218" t="str">
        <f ca="1">E7</f>
        <v>{"mobile":"079 5571045","privateNumber":"079 5480880","email":"6684abc@gmail.com"}</v>
      </c>
      <c r="D7" s="211"/>
      <c r="E7" s="212" t="str">
        <f ca="1">F7&amp;G7&amp;H7&amp;I7&amp;J7&amp;K7&amp;L7&amp;M7&amp;N7&amp;O7&amp;P7&amp;Q7&amp;R7&amp;S7&amp;T7&amp;U7&amp;V7&amp;W7&amp;X7</f>
        <v>{"mobile":"079 5571045","privateNumber":"079 5480880","email":"6684abc@gmail.com"}</v>
      </c>
      <c r="F7" s="212" t="s">
        <v>69</v>
      </c>
      <c r="G7" s="204" t="str">
        <f ca="1">"079 "&amp;RANDBETWEEN(5234500,5699999)</f>
        <v>079 5571045</v>
      </c>
      <c r="H7" s="204" t="s">
        <v>70</v>
      </c>
      <c r="I7" s="204" t="str">
        <f ca="1">"079 "&amp;RANDBETWEEN(5234500,5699999)</f>
        <v>079 5480880</v>
      </c>
      <c r="J7" s="204" t="s">
        <v>71</v>
      </c>
      <c r="K7" s="213" t="str">
        <f ca="1">RANDBETWEEN(1111,9999)&amp;"abc@gmail.com"</f>
        <v>6684abc@gmail.com</v>
      </c>
      <c r="L7" s="204" t="s">
        <v>34</v>
      </c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11"/>
      <c r="X7" s="211"/>
      <c r="Y7" s="211"/>
      <c r="Z7" s="211"/>
      <c r="AA7" s="211"/>
      <c r="AB7" s="211"/>
      <c r="AC7" s="211"/>
      <c r="AD7" s="211"/>
      <c r="AE7" s="211"/>
      <c r="AF7" s="214"/>
      <c r="AG7" s="211"/>
      <c r="AH7" s="211">
        <v>3047</v>
      </c>
      <c r="AI7" s="211"/>
      <c r="AJ7" s="215">
        <v>2990</v>
      </c>
      <c r="AK7" s="191">
        <f t="shared" si="0"/>
        <v>0.98129307515589104</v>
      </c>
      <c r="AL7" s="215">
        <v>2746</v>
      </c>
      <c r="AM7" s="215"/>
      <c r="AN7" s="215">
        <v>4852</v>
      </c>
      <c r="AO7" s="215"/>
      <c r="AP7" s="215">
        <v>5139</v>
      </c>
      <c r="AQ7" s="191">
        <f t="shared" si="1"/>
        <v>1.6865769609451919</v>
      </c>
      <c r="AR7" s="215">
        <v>5398</v>
      </c>
      <c r="AS7" s="191">
        <f t="shared" si="2"/>
        <v>1.7715786019035116</v>
      </c>
      <c r="AT7" s="215">
        <v>2266</v>
      </c>
      <c r="AU7" s="191">
        <f t="shared" si="3"/>
        <v>0.7436823104693141</v>
      </c>
      <c r="AV7" s="30">
        <v>3094</v>
      </c>
      <c r="AW7" s="191">
        <f t="shared" si="3"/>
        <v>1.0154250082047915</v>
      </c>
      <c r="AX7" s="30">
        <v>3218</v>
      </c>
    </row>
    <row r="8" spans="1:50" ht="16.5" customHeight="1">
      <c r="A8" s="208">
        <v>6</v>
      </c>
      <c r="B8" s="209" t="s">
        <v>72</v>
      </c>
      <c r="C8" s="218" t="str">
        <f ca="1">E8</f>
        <v>{"zusatz":"","strasse":"Strasse_792","houseNumber":"13","ort":"3053 Münchenbuchsee","validDate":"22.12.2021"}</v>
      </c>
      <c r="D8" s="211"/>
      <c r="E8" s="212" t="str">
        <f ca="1">F8&amp;G8&amp;H8&amp;I8&amp;J8&amp;K8&amp;L8&amp;M8&amp;N8&amp;O8&amp;P8&amp;Q8&amp;R8&amp;S8&amp;T8&amp;U8&amp;V8&amp;W8&amp;X8</f>
        <v>{"zusatz":"","strasse":"Strasse_792","houseNumber":"13","ort":"3053 Münchenbuchsee","validDate":"22.12.2021"}</v>
      </c>
      <c r="F8" s="204" t="s">
        <v>73</v>
      </c>
      <c r="G8" s="204"/>
      <c r="H8" s="204" t="s">
        <v>74</v>
      </c>
      <c r="I8" s="204" t="str">
        <f ca="1">"Strasse_"&amp;RANDBETWEEN(1,1000)</f>
        <v>Strasse_792</v>
      </c>
      <c r="J8" s="204" t="s">
        <v>75</v>
      </c>
      <c r="K8" s="204">
        <f ca="1">RANDBETWEEN(1,100)</f>
        <v>13</v>
      </c>
      <c r="L8" s="204" t="s">
        <v>76</v>
      </c>
      <c r="M8" s="204" t="s">
        <v>77</v>
      </c>
      <c r="N8" s="204" t="s">
        <v>78</v>
      </c>
      <c r="O8" s="223" t="str">
        <f ca="1">TEXT(RANDBETWEEN(1,28)&amp;"."&amp;RANDBETWEEN(1,12)&amp;"."&amp;TEXT(TODAY()-4*365,"YYYY"),"DD.MM.YYYY")</f>
        <v>22.12.2021</v>
      </c>
      <c r="P8" s="204" t="s">
        <v>34</v>
      </c>
      <c r="Q8" s="204"/>
      <c r="R8" s="204"/>
      <c r="S8" s="204"/>
      <c r="T8" s="204"/>
      <c r="U8" s="204"/>
      <c r="V8" s="204"/>
      <c r="W8" s="211"/>
      <c r="X8" s="211"/>
      <c r="Y8" s="211"/>
      <c r="Z8" s="211"/>
      <c r="AA8" s="211"/>
      <c r="AB8" s="211"/>
      <c r="AC8" s="211"/>
      <c r="AD8" s="211"/>
      <c r="AE8" s="211"/>
      <c r="AF8" s="214"/>
      <c r="AG8" s="211"/>
      <c r="AH8" s="211">
        <v>378</v>
      </c>
      <c r="AI8" s="211"/>
      <c r="AJ8" s="215">
        <v>234</v>
      </c>
      <c r="AK8" s="191">
        <f t="shared" si="0"/>
        <v>0.61904761904761907</v>
      </c>
      <c r="AL8" s="215">
        <v>276</v>
      </c>
      <c r="AM8" s="215"/>
      <c r="AN8" s="215">
        <v>846</v>
      </c>
      <c r="AO8" s="215"/>
      <c r="AP8" s="215">
        <v>770</v>
      </c>
      <c r="AQ8" s="191">
        <f t="shared" si="1"/>
        <v>2.0370370370370372</v>
      </c>
      <c r="AR8" s="215">
        <v>1011</v>
      </c>
      <c r="AS8" s="191">
        <f t="shared" si="2"/>
        <v>2.6746031746031744</v>
      </c>
      <c r="AT8" s="215">
        <v>284</v>
      </c>
      <c r="AU8" s="191">
        <f t="shared" si="3"/>
        <v>0.75132275132275128</v>
      </c>
      <c r="AV8" s="30">
        <v>304</v>
      </c>
      <c r="AW8" s="191">
        <f t="shared" si="3"/>
        <v>0.80423280423280419</v>
      </c>
      <c r="AX8" s="30">
        <v>324</v>
      </c>
    </row>
    <row r="9" spans="1:50" ht="16.5" customHeight="1">
      <c r="A9" s="208">
        <v>7</v>
      </c>
      <c r="B9" s="209" t="s">
        <v>79</v>
      </c>
      <c r="C9" s="218" t="s">
        <v>80</v>
      </c>
      <c r="D9" s="211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11"/>
      <c r="X9" s="211"/>
      <c r="Y9" s="211"/>
      <c r="Z9" s="211"/>
      <c r="AA9" s="211"/>
      <c r="AB9" s="211"/>
      <c r="AC9" s="211"/>
      <c r="AD9" s="211"/>
      <c r="AE9" s="211"/>
      <c r="AF9" s="214"/>
      <c r="AG9" s="211"/>
      <c r="AH9" s="211">
        <v>4861</v>
      </c>
      <c r="AI9" s="211"/>
      <c r="AJ9" s="215">
        <v>4692</v>
      </c>
      <c r="AK9" s="191">
        <f t="shared" si="0"/>
        <v>0.96523349105122402</v>
      </c>
      <c r="AL9" s="215">
        <v>4723</v>
      </c>
      <c r="AM9" s="215"/>
      <c r="AN9" s="215">
        <v>5140</v>
      </c>
      <c r="AO9" s="215"/>
      <c r="AP9" s="215">
        <v>6034</v>
      </c>
      <c r="AQ9" s="191">
        <f t="shared" si="1"/>
        <v>1.241308372762806</v>
      </c>
      <c r="AR9" s="215">
        <v>5993</v>
      </c>
      <c r="AS9" s="191">
        <f t="shared" si="2"/>
        <v>1.2328738942604403</v>
      </c>
      <c r="AT9" s="215">
        <v>4678</v>
      </c>
      <c r="AU9" s="191">
        <f t="shared" si="3"/>
        <v>0.96235342522114786</v>
      </c>
      <c r="AV9" s="30">
        <v>5041</v>
      </c>
      <c r="AW9" s="191">
        <f t="shared" si="3"/>
        <v>1.0370294178152644</v>
      </c>
      <c r="AX9" s="30">
        <v>4960</v>
      </c>
    </row>
    <row r="10" spans="1:50" ht="16.5" customHeight="1">
      <c r="A10" s="208">
        <v>8</v>
      </c>
      <c r="B10" s="209" t="s">
        <v>81</v>
      </c>
      <c r="C10" s="218"/>
      <c r="D10" s="211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11"/>
      <c r="X10" s="211"/>
      <c r="Y10" s="211"/>
      <c r="Z10" s="211"/>
      <c r="AA10" s="211"/>
      <c r="AB10" s="211"/>
      <c r="AC10" s="211"/>
      <c r="AD10" s="211"/>
      <c r="AE10" s="211"/>
      <c r="AF10" s="214"/>
      <c r="AG10" s="211"/>
      <c r="AH10" s="211">
        <v>81</v>
      </c>
      <c r="AI10" s="211"/>
      <c r="AJ10" s="215">
        <v>94</v>
      </c>
      <c r="AK10" s="191">
        <f t="shared" si="0"/>
        <v>1.1604938271604939</v>
      </c>
      <c r="AL10" s="215">
        <v>95</v>
      </c>
      <c r="AM10" s="215"/>
      <c r="AN10" s="215">
        <v>588</v>
      </c>
      <c r="AO10" s="215"/>
      <c r="AP10" s="215">
        <v>569</v>
      </c>
      <c r="AQ10" s="191">
        <f t="shared" si="1"/>
        <v>7.0246913580246915</v>
      </c>
      <c r="AR10" s="215">
        <v>321</v>
      </c>
      <c r="AS10" s="191">
        <f t="shared" si="2"/>
        <v>3.9629629629629628</v>
      </c>
      <c r="AT10" s="215">
        <v>129</v>
      </c>
      <c r="AU10" s="191">
        <f t="shared" si="3"/>
        <v>1.5925925925925926</v>
      </c>
      <c r="AV10" s="30">
        <v>86</v>
      </c>
      <c r="AW10" s="191">
        <f t="shared" si="3"/>
        <v>1.0617283950617284</v>
      </c>
      <c r="AX10" s="30">
        <v>105</v>
      </c>
    </row>
    <row r="11" spans="1:50" ht="16.5" customHeight="1">
      <c r="A11" s="208">
        <v>9</v>
      </c>
      <c r="B11" s="209" t="s">
        <v>82</v>
      </c>
      <c r="C11" s="218" t="str">
        <f t="shared" ref="C11:C24" si="4">E11</f>
        <v>{"zust_Gemeinde":"Münchenbuchsee","zust_SozTeam":"Sozialarbeit Bern 1","zust_SozMitarbeiter":"Bern Sozialarbeiterin 1A","zust_SachbTeam":"Sachbearbeitung Bern","zust_SachbMitarbeiter":"Bern Sachbearbeiterin"}</v>
      </c>
      <c r="D11" s="211"/>
      <c r="E11" s="204" t="str">
        <f t="shared" ref="E11:E24" si="5">F11&amp;G11&amp;H11&amp;I11&amp;J11&amp;K11&amp;L11&amp;M11&amp;N11&amp;O11&amp;P11&amp;Q11&amp;R11&amp;S11&amp;T11&amp;U11&amp;V11&amp;W11&amp;X11</f>
        <v>{"zust_Gemeinde":"Münchenbuchsee","zust_SozTeam":"Sozialarbeit Bern 1","zust_SozMitarbeiter":"Bern Sozialarbeiterin 1A","zust_SachbTeam":"Sachbearbeitung Bern","zust_SachbMitarbeiter":"Bern Sachbearbeiterin"}</v>
      </c>
      <c r="F11" s="204" t="s">
        <v>83</v>
      </c>
      <c r="G11" s="204" t="s">
        <v>84</v>
      </c>
      <c r="H11" s="204" t="s">
        <v>85</v>
      </c>
      <c r="I11" s="204" t="s">
        <v>46</v>
      </c>
      <c r="J11" s="204" t="s">
        <v>86</v>
      </c>
      <c r="K11" s="204" t="s">
        <v>87</v>
      </c>
      <c r="L11" s="204" t="s">
        <v>88</v>
      </c>
      <c r="M11" s="204" t="s">
        <v>89</v>
      </c>
      <c r="N11" s="204" t="s">
        <v>90</v>
      </c>
      <c r="O11" s="204" t="s">
        <v>91</v>
      </c>
      <c r="P11" s="204" t="s">
        <v>34</v>
      </c>
      <c r="Q11" s="204"/>
      <c r="R11" s="204"/>
      <c r="S11" s="204"/>
      <c r="T11" s="204"/>
      <c r="U11" s="204"/>
      <c r="V11" s="204"/>
      <c r="W11" s="211"/>
      <c r="X11" s="211"/>
      <c r="Y11" s="211"/>
      <c r="Z11" s="211"/>
      <c r="AA11" s="211"/>
      <c r="AB11" s="211"/>
      <c r="AC11" s="211"/>
      <c r="AD11" s="211"/>
      <c r="AE11" s="211"/>
      <c r="AF11" s="214"/>
      <c r="AG11" s="211"/>
      <c r="AH11" s="211">
        <v>1159</v>
      </c>
      <c r="AI11" s="211"/>
      <c r="AJ11" s="215">
        <v>1171</v>
      </c>
      <c r="AK11" s="191">
        <f t="shared" si="0"/>
        <v>1.010353753235548</v>
      </c>
      <c r="AL11" s="215">
        <v>1205</v>
      </c>
      <c r="AM11" s="215"/>
      <c r="AN11" s="215">
        <v>1426</v>
      </c>
      <c r="AO11" s="215"/>
      <c r="AP11" s="215">
        <v>1553</v>
      </c>
      <c r="AQ11" s="191">
        <f t="shared" si="1"/>
        <v>1.3399482312338222</v>
      </c>
      <c r="AR11" s="215">
        <v>1799</v>
      </c>
      <c r="AS11" s="191">
        <f t="shared" si="2"/>
        <v>1.5522001725625538</v>
      </c>
      <c r="AT11" s="215">
        <v>1229</v>
      </c>
      <c r="AU11" s="191">
        <f t="shared" si="3"/>
        <v>1.0603968938740294</v>
      </c>
      <c r="AV11" s="30">
        <v>1204</v>
      </c>
      <c r="AW11" s="191">
        <f t="shared" si="3"/>
        <v>1.0388265746333045</v>
      </c>
      <c r="AX11" s="30">
        <v>1221</v>
      </c>
    </row>
    <row r="12" spans="1:50" ht="16.5" customHeight="1">
      <c r="A12" s="208">
        <v>10</v>
      </c>
      <c r="B12" s="209" t="s">
        <v>92</v>
      </c>
      <c r="C12" s="218" t="str">
        <f t="shared" ca="1" si="4"/>
        <v>{"dossierBezeichnung":p.DossierName2,"eroeffnetAm":"05.11.2025","dossierSprache":"Deutsch"}</v>
      </c>
      <c r="D12" s="22" t="s">
        <v>395</v>
      </c>
      <c r="E12" s="212" t="str">
        <f t="shared" ca="1" si="5"/>
        <v>{"dossierBezeichnung":p.DossierName2,"eroeffnetAm":"05.11.2025","dossierSprache":"Deutsch"}</v>
      </c>
      <c r="F12" s="204" t="s">
        <v>93</v>
      </c>
      <c r="G12" s="226" t="str">
        <f>G44</f>
        <v>p.DossierName2</v>
      </c>
      <c r="H12" s="204" t="s">
        <v>94</v>
      </c>
      <c r="I12" s="223" t="str">
        <f ca="1">TEXT(TEXT(TODAY(),"DD")&amp;"."&amp;TEXT(TODAY(),"MM")&amp;"."&amp;TEXT(TODAY(),"YYYY"),"DD.MM.YYYY")</f>
        <v>05.11.2025</v>
      </c>
      <c r="J12" s="204" t="s">
        <v>95</v>
      </c>
      <c r="K12" s="204" t="s">
        <v>56</v>
      </c>
      <c r="L12" s="204" t="s">
        <v>34</v>
      </c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11"/>
      <c r="X12" s="211"/>
      <c r="Y12" s="211"/>
      <c r="Z12" s="211"/>
      <c r="AA12" s="211"/>
      <c r="AB12" s="211"/>
      <c r="AC12" s="211"/>
      <c r="AD12" s="211"/>
      <c r="AE12" s="211"/>
      <c r="AF12" s="214"/>
      <c r="AG12" s="211"/>
      <c r="AH12" s="211">
        <v>4199</v>
      </c>
      <c r="AI12" s="211"/>
      <c r="AJ12" s="215">
        <v>4049</v>
      </c>
      <c r="AK12" s="191">
        <f t="shared" si="0"/>
        <v>0.96427720885925217</v>
      </c>
      <c r="AL12" s="215">
        <v>4080</v>
      </c>
      <c r="AM12" s="215"/>
      <c r="AN12" s="215">
        <v>4423</v>
      </c>
      <c r="AO12" s="215"/>
      <c r="AP12" s="215">
        <v>4546</v>
      </c>
      <c r="AQ12" s="191">
        <f t="shared" si="1"/>
        <v>1.0826387235055965</v>
      </c>
      <c r="AR12" s="215">
        <v>4547</v>
      </c>
      <c r="AS12" s="191">
        <f t="shared" si="2"/>
        <v>1.082876875446535</v>
      </c>
      <c r="AT12" s="215">
        <v>3596</v>
      </c>
      <c r="AU12" s="191">
        <f t="shared" si="3"/>
        <v>0.85639437961419385</v>
      </c>
      <c r="AV12" s="30">
        <v>4073</v>
      </c>
      <c r="AW12" s="191">
        <f t="shared" si="3"/>
        <v>0.96999285544177183</v>
      </c>
      <c r="AX12" s="30">
        <v>4404</v>
      </c>
    </row>
    <row r="13" spans="1:50" ht="16.5" customHeight="1">
      <c r="A13" s="227">
        <v>11</v>
      </c>
      <c r="B13" s="228" t="s">
        <v>96</v>
      </c>
      <c r="C13" s="229" t="str">
        <f>E13</f>
        <v>{"dossierInstitution":p.DossierName2,"klientschaft":`${p.FamilyName2}, ${p.ManFirstName2}`,"buttonBewilligung":"Anfragen","checkStatus":"In Bearbeitung"}</v>
      </c>
      <c r="D13" s="230"/>
      <c r="E13" s="212" t="str">
        <f t="shared" si="5"/>
        <v>{"dossierInstitution":p.DossierName2,"klientschaft":`${p.FamilyName2}, ${p.ManFirstName2}`,"buttonBewilligung":"Anfragen","checkStatus":"In Bearbeitung"}</v>
      </c>
      <c r="F13" s="205" t="s">
        <v>97</v>
      </c>
      <c r="G13" s="226" t="str">
        <f>G12</f>
        <v>p.DossierName2</v>
      </c>
      <c r="H13" s="205" t="s">
        <v>98</v>
      </c>
      <c r="I13" s="205" t="str">
        <f>I23</f>
        <v>${p.FamilyName2}, ${p.ManFirstName2}</v>
      </c>
      <c r="J13" s="205" t="s">
        <v>99</v>
      </c>
      <c r="K13" s="223" t="s">
        <v>100</v>
      </c>
      <c r="L13" s="205" t="s">
        <v>101</v>
      </c>
      <c r="M13" s="205" t="s">
        <v>102</v>
      </c>
      <c r="N13" s="205" t="s">
        <v>34</v>
      </c>
      <c r="W13" s="230"/>
      <c r="X13" s="230"/>
      <c r="Y13" s="230"/>
      <c r="Z13" s="230"/>
      <c r="AA13" s="230"/>
      <c r="AB13" s="230"/>
      <c r="AC13" s="230"/>
      <c r="AD13" s="230"/>
      <c r="AE13" s="230"/>
      <c r="AF13" s="231"/>
      <c r="AG13" s="55"/>
      <c r="AH13" s="215">
        <v>1522</v>
      </c>
      <c r="AI13" s="215"/>
      <c r="AJ13" s="215">
        <v>1540</v>
      </c>
      <c r="AK13" s="191">
        <f t="shared" si="0"/>
        <v>1.011826544021025</v>
      </c>
      <c r="AL13" s="215">
        <v>1480</v>
      </c>
      <c r="AM13" s="215"/>
      <c r="AN13" s="215">
        <v>1388</v>
      </c>
      <c r="AO13" s="215"/>
      <c r="AP13" s="215">
        <v>1517</v>
      </c>
      <c r="AQ13" s="191">
        <f t="shared" si="1"/>
        <v>0.99671484888304862</v>
      </c>
      <c r="AR13" s="215">
        <v>1581</v>
      </c>
      <c r="AS13" s="191">
        <f t="shared" si="2"/>
        <v>1.0387647831800262</v>
      </c>
      <c r="AT13" s="215">
        <v>1114</v>
      </c>
      <c r="AU13" s="191">
        <f t="shared" si="3"/>
        <v>0.73193166885676741</v>
      </c>
      <c r="AV13" s="30">
        <v>938</v>
      </c>
      <c r="AW13" s="191">
        <f t="shared" si="3"/>
        <v>0.61629434954007889</v>
      </c>
      <c r="AX13" s="30">
        <v>962</v>
      </c>
    </row>
    <row r="14" spans="1:50" ht="16.5" customHeight="1">
      <c r="A14" s="227">
        <v>12</v>
      </c>
      <c r="B14" s="228" t="s">
        <v>103</v>
      </c>
      <c r="C14" s="229" t="str">
        <f>E14</f>
        <v>{"username":"Bern.Sachbearbeiterin@diartis.ch","password":"XXxa22?pdTA66-S@"}</v>
      </c>
      <c r="D14" s="232"/>
      <c r="E14" s="212" t="str">
        <f t="shared" si="5"/>
        <v>{"username":"Bern.Sachbearbeiterin@diartis.ch","password":"XXxa22?pdTA66-S@"}</v>
      </c>
      <c r="F14" s="204" t="s">
        <v>27</v>
      </c>
      <c r="G14" s="213" t="s">
        <v>28</v>
      </c>
      <c r="H14" s="204" t="s">
        <v>29</v>
      </c>
      <c r="I14" s="233" t="s">
        <v>30</v>
      </c>
      <c r="J14" s="204" t="s">
        <v>34</v>
      </c>
      <c r="K14" s="223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32"/>
      <c r="X14" s="232"/>
      <c r="Y14" s="232"/>
      <c r="Z14" s="232"/>
      <c r="AA14" s="232"/>
      <c r="AB14" s="232"/>
      <c r="AC14" s="232"/>
      <c r="AD14" s="232"/>
      <c r="AE14" s="232"/>
      <c r="AF14" s="234"/>
      <c r="AG14" s="235"/>
      <c r="AH14" s="215">
        <v>10701</v>
      </c>
      <c r="AI14" s="215"/>
      <c r="AJ14" s="215">
        <v>10596</v>
      </c>
      <c r="AK14" s="191">
        <f t="shared" si="0"/>
        <v>0.99018783291281187</v>
      </c>
      <c r="AL14" s="215">
        <v>10449</v>
      </c>
      <c r="AM14" s="215"/>
      <c r="AN14" s="215">
        <v>15172</v>
      </c>
      <c r="AO14" s="215"/>
      <c r="AP14" s="215">
        <v>13669</v>
      </c>
      <c r="AQ14" s="191">
        <f t="shared" si="1"/>
        <v>1.2773572563311839</v>
      </c>
      <c r="AR14" s="215">
        <v>15047</v>
      </c>
      <c r="AS14" s="191">
        <f t="shared" si="2"/>
        <v>1.4061302681992338</v>
      </c>
      <c r="AT14" s="215">
        <v>9450</v>
      </c>
      <c r="AU14" s="191">
        <f t="shared" si="3"/>
        <v>0.88309503784693022</v>
      </c>
      <c r="AV14" s="30">
        <v>10572</v>
      </c>
      <c r="AW14" s="191">
        <f t="shared" si="3"/>
        <v>0.9879450518643117</v>
      </c>
      <c r="AX14" s="30">
        <v>10072</v>
      </c>
    </row>
    <row r="15" spans="1:50" ht="16.5" customHeight="1">
      <c r="A15" s="227">
        <v>13</v>
      </c>
      <c r="B15" s="228" t="s">
        <v>96</v>
      </c>
      <c r="C15" s="229" t="str">
        <f>E15</f>
        <v>{"dossierInstitution":p.DossierName2,"klientschaft":`${p.FamilyName2}, ${p.ManFirstName2}`,"buttonBewilligung":"Bewilligen","checkStatus":"Bewilligt"}</v>
      </c>
      <c r="D15" s="230"/>
      <c r="E15" s="212" t="str">
        <f t="shared" si="5"/>
        <v>{"dossierInstitution":p.DossierName2,"klientschaft":`${p.FamilyName2}, ${p.ManFirstName2}`,"buttonBewilligung":"Bewilligen","checkStatus":"Bewilligt"}</v>
      </c>
      <c r="F15" s="205" t="s">
        <v>97</v>
      </c>
      <c r="G15" s="226" t="str">
        <f>G13</f>
        <v>p.DossierName2</v>
      </c>
      <c r="H15" s="205" t="s">
        <v>98</v>
      </c>
      <c r="I15" s="205" t="str">
        <f>I23</f>
        <v>${p.FamilyName2}, ${p.ManFirstName2}</v>
      </c>
      <c r="J15" s="205" t="s">
        <v>99</v>
      </c>
      <c r="K15" s="223" t="s">
        <v>105</v>
      </c>
      <c r="L15" s="205" t="s">
        <v>101</v>
      </c>
      <c r="M15" s="205" t="s">
        <v>106</v>
      </c>
      <c r="N15" s="205" t="s">
        <v>34</v>
      </c>
      <c r="W15" s="230"/>
      <c r="X15" s="230"/>
      <c r="Y15" s="230"/>
      <c r="Z15" s="230"/>
      <c r="AA15" s="230"/>
      <c r="AB15" s="230"/>
      <c r="AC15" s="230"/>
      <c r="AD15" s="230"/>
      <c r="AE15" s="230"/>
      <c r="AF15" s="55"/>
      <c r="AG15" s="55"/>
      <c r="AH15" s="215">
        <v>10109</v>
      </c>
      <c r="AI15" s="215"/>
      <c r="AJ15" s="215">
        <v>9610</v>
      </c>
      <c r="AK15" s="191">
        <f t="shared" si="0"/>
        <v>0.9506380453061628</v>
      </c>
      <c r="AL15" s="215">
        <v>9677</v>
      </c>
      <c r="AM15" s="215"/>
      <c r="AN15" s="215">
        <v>19957</v>
      </c>
      <c r="AO15" s="215"/>
      <c r="AP15" s="215">
        <v>17559</v>
      </c>
      <c r="AQ15" s="191">
        <f t="shared" si="1"/>
        <v>1.7369670590562865</v>
      </c>
      <c r="AR15" s="215">
        <v>16816</v>
      </c>
      <c r="AS15" s="191">
        <f t="shared" si="2"/>
        <v>1.6634681966564449</v>
      </c>
      <c r="AT15" s="215">
        <v>9433</v>
      </c>
      <c r="AU15" s="191">
        <f t="shared" si="3"/>
        <v>0.93312889504402019</v>
      </c>
      <c r="AV15" s="30">
        <v>9995</v>
      </c>
      <c r="AW15" s="191">
        <f t="shared" si="3"/>
        <v>0.9887229201701454</v>
      </c>
      <c r="AX15" s="30">
        <v>10100</v>
      </c>
    </row>
    <row r="16" spans="1:50" ht="16.5" customHeight="1" thickBot="1">
      <c r="A16" s="227">
        <v>14</v>
      </c>
      <c r="B16" s="228" t="s">
        <v>103</v>
      </c>
      <c r="C16" s="236" t="s">
        <v>107</v>
      </c>
      <c r="D16" s="230"/>
      <c r="E16" s="212">
        <v>2</v>
      </c>
      <c r="F16" s="204" t="s">
        <v>27</v>
      </c>
      <c r="G16" s="205" t="s">
        <v>28</v>
      </c>
      <c r="H16" s="204" t="s">
        <v>29</v>
      </c>
      <c r="I16" s="205" t="s">
        <v>30</v>
      </c>
      <c r="J16" s="204" t="s">
        <v>34</v>
      </c>
      <c r="L16" s="204"/>
      <c r="N16" s="204"/>
      <c r="P16" s="204"/>
      <c r="R16" s="204"/>
      <c r="T16" s="204"/>
      <c r="V16" s="204"/>
      <c r="W16" s="230"/>
      <c r="X16" s="230"/>
      <c r="Y16" s="230"/>
      <c r="Z16" s="230"/>
      <c r="AA16" s="230"/>
      <c r="AB16" s="230"/>
      <c r="AC16" s="230"/>
      <c r="AD16" s="230"/>
      <c r="AE16" s="230"/>
      <c r="AF16" s="231"/>
      <c r="AH16" s="215">
        <v>9903</v>
      </c>
      <c r="AI16" s="215"/>
      <c r="AJ16" s="215">
        <v>10024</v>
      </c>
      <c r="AK16" s="191">
        <f t="shared" si="0"/>
        <v>1.0122185196405129</v>
      </c>
      <c r="AL16" s="215">
        <v>10034</v>
      </c>
      <c r="AM16" s="215"/>
      <c r="AN16" s="215">
        <v>15378</v>
      </c>
      <c r="AO16" s="215"/>
      <c r="AP16" s="215">
        <v>23525</v>
      </c>
      <c r="AQ16" s="191">
        <f t="shared" si="1"/>
        <v>2.3755427648187419</v>
      </c>
      <c r="AR16" s="215">
        <v>15204</v>
      </c>
      <c r="AS16" s="191">
        <f t="shared" si="2"/>
        <v>1.5352923356558619</v>
      </c>
      <c r="AT16" s="215">
        <v>10291</v>
      </c>
      <c r="AU16" s="191">
        <f t="shared" si="3"/>
        <v>1.0391800464505705</v>
      </c>
      <c r="AV16" s="30">
        <v>10804</v>
      </c>
      <c r="AW16" s="191">
        <f t="shared" si="3"/>
        <v>1.090982530546299</v>
      </c>
      <c r="AX16" s="30">
        <v>10496</v>
      </c>
    </row>
    <row r="17" spans="1:50" ht="16.5" customHeight="1" thickBot="1">
      <c r="A17" s="37">
        <v>16</v>
      </c>
      <c r="B17" s="237" t="s">
        <v>108</v>
      </c>
      <c r="C17" s="238" t="str">
        <f>E17</f>
        <v>{"searchDossierOrKlient":p.DossierName2,"resultType":"Dossiers"}</v>
      </c>
      <c r="D17" s="58"/>
      <c r="E17" s="212" t="str">
        <f t="shared" si="5"/>
        <v>{"searchDossierOrKlient":p.DossierName2,"resultType":"Dossiers"}</v>
      </c>
      <c r="F17" s="205" t="s">
        <v>109</v>
      </c>
      <c r="G17" s="226" t="str">
        <f>G15</f>
        <v>p.DossierName2</v>
      </c>
      <c r="H17" s="205" t="s">
        <v>110</v>
      </c>
      <c r="I17" s="205" t="s">
        <v>111</v>
      </c>
      <c r="J17" s="205" t="s">
        <v>34</v>
      </c>
      <c r="W17" s="58"/>
      <c r="X17" s="58"/>
      <c r="Y17" s="58"/>
      <c r="Z17" s="58"/>
      <c r="AA17" s="58"/>
      <c r="AB17" s="58"/>
      <c r="AC17" s="58"/>
      <c r="AD17" s="58"/>
      <c r="AE17" s="58"/>
      <c r="AF17" s="55"/>
      <c r="AG17" s="58"/>
      <c r="AH17" s="215">
        <v>9652</v>
      </c>
      <c r="AI17" s="215"/>
      <c r="AJ17" s="215">
        <v>9517</v>
      </c>
      <c r="AK17" s="191">
        <f t="shared" si="0"/>
        <v>0.98601326150020718</v>
      </c>
      <c r="AL17" s="215">
        <v>9448</v>
      </c>
      <c r="AM17" s="215"/>
      <c r="AN17" s="215">
        <v>13207</v>
      </c>
      <c r="AO17" s="215"/>
      <c r="AP17" s="215">
        <v>16203</v>
      </c>
      <c r="AQ17" s="191">
        <f t="shared" si="1"/>
        <v>1.6787194363862412</v>
      </c>
      <c r="AR17" s="215">
        <v>39846</v>
      </c>
      <c r="AS17" s="191">
        <f t="shared" si="2"/>
        <v>4.1282635723166186</v>
      </c>
      <c r="AT17" s="215">
        <v>9655</v>
      </c>
      <c r="AU17" s="191">
        <f t="shared" si="3"/>
        <v>1.0003108164111065</v>
      </c>
      <c r="AV17" s="30">
        <v>10327</v>
      </c>
      <c r="AW17" s="191">
        <f t="shared" si="3"/>
        <v>1.069933692498964</v>
      </c>
      <c r="AX17" s="30">
        <v>9292</v>
      </c>
    </row>
    <row r="18" spans="1:50" ht="16.5" customHeight="1">
      <c r="A18" s="408">
        <v>18</v>
      </c>
      <c r="B18" s="239" t="s">
        <v>113</v>
      </c>
      <c r="C18" s="240" t="str">
        <f t="shared" si="4"/>
        <v>{"vermieter":"Graber Immobilien","wohnungsgrosse":"4 Zimmer","mietkosten":1200,"nebenkosten":100}</v>
      </c>
      <c r="D18" s="235"/>
      <c r="E18" s="212" t="str">
        <f t="shared" si="5"/>
        <v>{"vermieter":"Graber Immobilien","wohnungsgrosse":"4 Zimmer","mietkosten":1200,"nebenkosten":100}</v>
      </c>
      <c r="F18" s="204" t="s">
        <v>114</v>
      </c>
      <c r="G18" s="205" t="s">
        <v>115</v>
      </c>
      <c r="H18" s="204" t="s">
        <v>116</v>
      </c>
      <c r="I18" s="204" t="s">
        <v>117</v>
      </c>
      <c r="J18" s="204" t="s">
        <v>118</v>
      </c>
      <c r="K18" s="204">
        <v>1200</v>
      </c>
      <c r="L18" s="204" t="s">
        <v>119</v>
      </c>
      <c r="M18" s="204">
        <v>100</v>
      </c>
      <c r="N18" s="204" t="s">
        <v>120</v>
      </c>
      <c r="O18" s="204"/>
      <c r="P18" s="204"/>
      <c r="Q18" s="204"/>
      <c r="R18" s="204"/>
      <c r="S18" s="204"/>
      <c r="T18" s="204"/>
      <c r="U18" s="204"/>
      <c r="V18" s="204"/>
      <c r="W18" s="235"/>
      <c r="X18" s="235"/>
      <c r="Y18" s="235"/>
      <c r="Z18" s="235"/>
      <c r="AA18" s="235"/>
      <c r="AB18" s="235"/>
      <c r="AC18" s="235"/>
      <c r="AD18" s="235"/>
      <c r="AE18" s="235"/>
      <c r="AF18" s="58"/>
      <c r="AG18" s="235"/>
      <c r="AH18" s="215">
        <v>5632</v>
      </c>
      <c r="AI18" s="215"/>
      <c r="AJ18" s="215">
        <v>5705</v>
      </c>
      <c r="AK18" s="191">
        <f t="shared" si="0"/>
        <v>1.0129616477272727</v>
      </c>
      <c r="AL18" s="215">
        <v>5734</v>
      </c>
      <c r="AM18" s="215"/>
      <c r="AN18" s="215">
        <v>8754</v>
      </c>
      <c r="AO18" s="215"/>
      <c r="AP18" s="215">
        <v>9511</v>
      </c>
      <c r="AQ18" s="191">
        <f t="shared" si="1"/>
        <v>1.6887428977272727</v>
      </c>
      <c r="AR18" s="215">
        <v>41783</v>
      </c>
      <c r="AS18" s="191">
        <f t="shared" si="2"/>
        <v>7.4188565340909092</v>
      </c>
      <c r="AT18" s="215">
        <v>6286</v>
      </c>
      <c r="AU18" s="191">
        <f t="shared" si="3"/>
        <v>1.1161221590909092</v>
      </c>
      <c r="AV18" s="30">
        <v>6299</v>
      </c>
      <c r="AW18" s="191">
        <f t="shared" si="3"/>
        <v>1.1184303977272727</v>
      </c>
      <c r="AX18" s="30">
        <v>6081</v>
      </c>
    </row>
    <row r="19" spans="1:50" ht="16.5" customHeight="1">
      <c r="A19" s="408">
        <v>19</v>
      </c>
      <c r="B19" s="248" t="s">
        <v>121</v>
      </c>
      <c r="C19" s="240" t="str">
        <f t="shared" ca="1" si="4"/>
        <v>{"name":p.FamilyName2,"vorname":p.ManFirstName3,"geburtsdatum":p.BirthdayKid3,"ahvNumber":p.AHVNumber8,"personInhausltVon":"05.11.2025","inHauslt":"Übernehmen","ereignis":"Eheschliessung"}</v>
      </c>
      <c r="D19" s="235"/>
      <c r="E19" s="212" t="str">
        <f t="shared" ca="1" si="5"/>
        <v>{"name":p.FamilyName2,"vorname":p.ManFirstName3,"geburtsdatum":p.BirthdayKid3,"ahvNumber":p.AHVNumber8,"personInhausltVon":"05.11.2025","inHauslt":"Übernehmen","ereignis":"Eheschliessung"}</v>
      </c>
      <c r="F19" s="204" t="s">
        <v>48</v>
      </c>
      <c r="G19" s="205" t="str">
        <f>G6</f>
        <v>p.FamilyName2</v>
      </c>
      <c r="H19" s="204" t="s">
        <v>49</v>
      </c>
      <c r="I19" s="205" t="str">
        <f>H47</f>
        <v>p.ManFirstName3</v>
      </c>
      <c r="J19" s="204" t="s">
        <v>122</v>
      </c>
      <c r="K19" s="223" t="str">
        <f>J47</f>
        <v>p.BirthdayKid3</v>
      </c>
      <c r="L19" s="204" t="s">
        <v>54</v>
      </c>
      <c r="M19" s="205" t="str">
        <f>I47</f>
        <v>p.AHVNumber8</v>
      </c>
      <c r="N19" s="204" t="s">
        <v>123</v>
      </c>
      <c r="O19" s="223" t="str">
        <f ca="1">I12</f>
        <v>05.11.2025</v>
      </c>
      <c r="P19" s="204" t="s">
        <v>124</v>
      </c>
      <c r="Q19" s="204" t="s">
        <v>125</v>
      </c>
      <c r="R19" s="204" t="s">
        <v>126</v>
      </c>
      <c r="S19" s="204" t="s">
        <v>127</v>
      </c>
      <c r="T19" s="204" t="s">
        <v>34</v>
      </c>
      <c r="U19" s="204"/>
      <c r="V19" s="204"/>
      <c r="W19" s="235"/>
      <c r="X19" s="235"/>
      <c r="Y19" s="235"/>
      <c r="Z19" s="235"/>
      <c r="AA19" s="235"/>
      <c r="AB19" s="235"/>
      <c r="AC19" s="235"/>
      <c r="AD19" s="235"/>
      <c r="AE19" s="235"/>
      <c r="AF19" s="231"/>
      <c r="AG19" s="235"/>
      <c r="AH19" s="215">
        <v>3543</v>
      </c>
      <c r="AI19" s="215"/>
      <c r="AJ19" s="215">
        <v>3481</v>
      </c>
      <c r="AK19" s="191">
        <f t="shared" si="0"/>
        <v>0.98250070561670899</v>
      </c>
      <c r="AL19" s="215">
        <v>3559</v>
      </c>
      <c r="AM19" s="215"/>
      <c r="AN19" s="215">
        <v>7101</v>
      </c>
      <c r="AO19" s="215"/>
      <c r="AP19" s="215">
        <v>7334</v>
      </c>
      <c r="AQ19" s="191">
        <f t="shared" si="1"/>
        <v>2.069997177533164</v>
      </c>
      <c r="AR19" s="215">
        <v>7519</v>
      </c>
      <c r="AS19" s="191">
        <f t="shared" si="2"/>
        <v>2.1222128139994356</v>
      </c>
      <c r="AT19" s="215">
        <v>3519</v>
      </c>
      <c r="AU19" s="191">
        <f t="shared" si="3"/>
        <v>0.99322607959356479</v>
      </c>
      <c r="AV19" s="30">
        <v>3931</v>
      </c>
      <c r="AW19" s="191">
        <f t="shared" si="3"/>
        <v>1.1095117132373695</v>
      </c>
      <c r="AX19" s="30">
        <v>3929</v>
      </c>
    </row>
    <row r="20" spans="1:50" ht="16.5" customHeight="1">
      <c r="A20" s="408">
        <v>20</v>
      </c>
      <c r="B20" s="248" t="s">
        <v>121</v>
      </c>
      <c r="C20" s="240" t="str">
        <f t="shared" ca="1" si="4"/>
        <v>{"name":p.FamilyName2,"vorname":p.WomanFirstName2,"geburtsdatum":p.BirthdayAdult3,"ahvNumber":p.AHVNumber6,"personInhausltVon":"05.11.2025","inHauslt":"Übernehmen","ereignis":"Geburt"}</v>
      </c>
      <c r="D20" s="235"/>
      <c r="E20" s="212" t="str">
        <f t="shared" ca="1" si="5"/>
        <v>{"name":p.FamilyName2,"vorname":p.WomanFirstName2,"geburtsdatum":p.BirthdayAdult3,"ahvNumber":p.AHVNumber6,"personInhausltVon":"05.11.2025","inHauslt":"Übernehmen","ereignis":"Geburt"}</v>
      </c>
      <c r="F20" s="204" t="s">
        <v>48</v>
      </c>
      <c r="G20" s="205" t="str">
        <f>G19</f>
        <v>p.FamilyName2</v>
      </c>
      <c r="H20" s="204" t="s">
        <v>49</v>
      </c>
      <c r="I20" s="205" t="str">
        <f>H45</f>
        <v>p.WomanFirstName2</v>
      </c>
      <c r="J20" s="204" t="s">
        <v>122</v>
      </c>
      <c r="K20" s="223" t="str">
        <f>J45</f>
        <v>p.BirthdayAdult3</v>
      </c>
      <c r="L20" s="204" t="s">
        <v>54</v>
      </c>
      <c r="M20" s="205" t="str">
        <f>I45</f>
        <v>p.AHVNumber6</v>
      </c>
      <c r="N20" s="204" t="s">
        <v>123</v>
      </c>
      <c r="O20" s="223" t="str">
        <f ca="1">O19</f>
        <v>05.11.2025</v>
      </c>
      <c r="P20" s="204" t="s">
        <v>124</v>
      </c>
      <c r="Q20" s="204" t="s">
        <v>125</v>
      </c>
      <c r="R20" s="204" t="s">
        <v>126</v>
      </c>
      <c r="S20" s="204" t="s">
        <v>128</v>
      </c>
      <c r="T20" s="204" t="s">
        <v>34</v>
      </c>
      <c r="U20" s="204"/>
      <c r="V20" s="204"/>
      <c r="W20" s="235"/>
      <c r="X20" s="235"/>
      <c r="Y20" s="235"/>
      <c r="Z20" s="235"/>
      <c r="AA20" s="235"/>
      <c r="AB20" s="235"/>
      <c r="AC20" s="235"/>
      <c r="AD20" s="235"/>
      <c r="AE20" s="235"/>
      <c r="AF20" s="231"/>
      <c r="AG20" s="235"/>
      <c r="AH20" s="215">
        <v>2324</v>
      </c>
      <c r="AI20" s="215"/>
      <c r="AJ20" s="215">
        <v>2582</v>
      </c>
      <c r="AK20" s="191">
        <f t="shared" si="0"/>
        <v>1.1110154905335627</v>
      </c>
      <c r="AL20" s="215">
        <v>2223</v>
      </c>
      <c r="AM20" s="215"/>
      <c r="AN20" s="215">
        <v>5141</v>
      </c>
      <c r="AO20" s="215"/>
      <c r="AP20" s="215">
        <v>5203</v>
      </c>
      <c r="AQ20" s="191">
        <f t="shared" si="1"/>
        <v>2.2388123924268504</v>
      </c>
      <c r="AR20" s="215">
        <v>5669</v>
      </c>
      <c r="AS20" s="191">
        <f t="shared" si="2"/>
        <v>2.439328743545611</v>
      </c>
      <c r="AT20" s="215">
        <v>2304</v>
      </c>
      <c r="AU20" s="191">
        <f t="shared" si="3"/>
        <v>0.99139414802065406</v>
      </c>
      <c r="AV20" s="30">
        <v>2826</v>
      </c>
      <c r="AW20" s="191">
        <f t="shared" si="3"/>
        <v>1.2160068846815835</v>
      </c>
      <c r="AX20" s="30">
        <v>2630</v>
      </c>
    </row>
    <row r="21" spans="1:50" ht="16.5" customHeight="1">
      <c r="A21" s="408">
        <v>21</v>
      </c>
      <c r="B21" s="248" t="s">
        <v>121</v>
      </c>
      <c r="C21" s="240" t="str">
        <f t="shared" ca="1" si="4"/>
        <v>{"name":p.FamilyName2,"vorname":p.GirlFirstName2,"geburtsdatum":p.BirthdayKid2,"ahvNumber":p.AHVNumber7,"personInhausltVon":"05.11.2025","inHauslt":"Übernehmen","ereignis":"Geburt"}</v>
      </c>
      <c r="D21" s="235"/>
      <c r="E21" s="212" t="str">
        <f t="shared" ca="1" si="5"/>
        <v>{"name":p.FamilyName2,"vorname":p.GirlFirstName2,"geburtsdatum":p.BirthdayKid2,"ahvNumber":p.AHVNumber7,"personInhausltVon":"05.11.2025","inHauslt":"Übernehmen","ereignis":"Geburt"}</v>
      </c>
      <c r="F21" s="204" t="s">
        <v>48</v>
      </c>
      <c r="G21" s="205" t="str">
        <f>G20</f>
        <v>p.FamilyName2</v>
      </c>
      <c r="H21" s="204" t="s">
        <v>49</v>
      </c>
      <c r="I21" s="205" t="str">
        <f>H46</f>
        <v>p.GirlFirstName2</v>
      </c>
      <c r="J21" s="204" t="s">
        <v>122</v>
      </c>
      <c r="K21" s="223" t="str">
        <f>J46</f>
        <v>p.BirthdayKid2</v>
      </c>
      <c r="L21" s="204" t="s">
        <v>54</v>
      </c>
      <c r="M21" s="205" t="str">
        <f>I46</f>
        <v>p.AHVNumber7</v>
      </c>
      <c r="N21" s="204" t="s">
        <v>123</v>
      </c>
      <c r="O21" s="223" t="str">
        <f ca="1">O20</f>
        <v>05.11.2025</v>
      </c>
      <c r="P21" s="204" t="s">
        <v>124</v>
      </c>
      <c r="Q21" s="204" t="s">
        <v>125</v>
      </c>
      <c r="R21" s="204" t="s">
        <v>126</v>
      </c>
      <c r="S21" s="204" t="s">
        <v>128</v>
      </c>
      <c r="T21" s="204" t="s">
        <v>34</v>
      </c>
      <c r="U21" s="204"/>
      <c r="V21" s="204"/>
      <c r="W21" s="235"/>
      <c r="X21" s="235"/>
      <c r="Y21" s="235"/>
      <c r="Z21" s="235"/>
      <c r="AA21" s="235"/>
      <c r="AB21" s="235"/>
      <c r="AC21" s="235"/>
      <c r="AD21" s="235"/>
      <c r="AE21" s="235"/>
      <c r="AF21" s="234"/>
      <c r="AG21" s="235"/>
      <c r="AH21" s="215">
        <v>2702</v>
      </c>
      <c r="AI21" s="215"/>
      <c r="AJ21" s="215">
        <v>2886</v>
      </c>
      <c r="AK21" s="191">
        <f t="shared" si="0"/>
        <v>1.0680977054034049</v>
      </c>
      <c r="AL21" s="215">
        <v>2683</v>
      </c>
      <c r="AM21" s="215"/>
      <c r="AN21" s="215">
        <v>5897</v>
      </c>
      <c r="AO21" s="215"/>
      <c r="AP21" s="215">
        <v>6769</v>
      </c>
      <c r="AQ21" s="191">
        <f t="shared" si="1"/>
        <v>2.5051813471502591</v>
      </c>
      <c r="AR21" s="215">
        <v>5964</v>
      </c>
      <c r="AS21" s="191">
        <f t="shared" si="2"/>
        <v>2.2072538860103625</v>
      </c>
      <c r="AT21" s="215">
        <v>2715</v>
      </c>
      <c r="AU21" s="191">
        <f t="shared" si="3"/>
        <v>1.0048112509252405</v>
      </c>
      <c r="AV21" s="30">
        <v>3007</v>
      </c>
      <c r="AW21" s="191">
        <f t="shared" si="3"/>
        <v>1.1128793486306439</v>
      </c>
      <c r="AX21" s="30">
        <v>3037</v>
      </c>
    </row>
    <row r="22" spans="1:50" ht="16.5" customHeight="1" thickBot="1">
      <c r="A22" s="408">
        <v>22</v>
      </c>
      <c r="B22" s="409" t="s">
        <v>113</v>
      </c>
      <c r="C22" s="240" t="str">
        <f t="shared" si="4"/>
        <v>{"vermieter":"Graber Immobilien","wohnungsgrosse":"4 Zimmer","mietkosten":3000,"nebenkosten":300}</v>
      </c>
      <c r="D22" s="235"/>
      <c r="E22" s="212" t="str">
        <f t="shared" si="5"/>
        <v>{"vermieter":"Graber Immobilien","wohnungsgrosse":"4 Zimmer","mietkosten":3000,"nebenkosten":300}</v>
      </c>
      <c r="F22" s="204" t="s">
        <v>114</v>
      </c>
      <c r="G22" s="205" t="s">
        <v>115</v>
      </c>
      <c r="H22" s="204" t="s">
        <v>116</v>
      </c>
      <c r="I22" s="204" t="s">
        <v>117</v>
      </c>
      <c r="J22" s="204" t="s">
        <v>118</v>
      </c>
      <c r="K22" s="204">
        <v>3000</v>
      </c>
      <c r="L22" s="204" t="s">
        <v>119</v>
      </c>
      <c r="M22" s="204">
        <v>300</v>
      </c>
      <c r="N22" s="204" t="s">
        <v>120</v>
      </c>
      <c r="O22" s="204"/>
      <c r="P22" s="204"/>
      <c r="Q22" s="204"/>
      <c r="R22" s="204"/>
      <c r="S22" s="204"/>
      <c r="T22" s="204"/>
      <c r="U22" s="204"/>
      <c r="V22" s="204"/>
      <c r="W22" s="235"/>
      <c r="X22" s="235"/>
      <c r="Y22" s="235"/>
      <c r="Z22" s="235"/>
      <c r="AA22" s="235"/>
      <c r="AB22" s="235"/>
      <c r="AC22" s="235"/>
      <c r="AD22" s="235"/>
      <c r="AE22" s="235"/>
      <c r="AF22" s="231"/>
      <c r="AG22" s="235"/>
      <c r="AH22" s="215">
        <v>2397</v>
      </c>
      <c r="AI22" s="215"/>
      <c r="AJ22" s="215">
        <v>2625</v>
      </c>
      <c r="AK22" s="191">
        <f t="shared" si="0"/>
        <v>1.0951188986232792</v>
      </c>
      <c r="AL22" s="215">
        <v>2732</v>
      </c>
      <c r="AM22" s="215"/>
      <c r="AN22" s="215">
        <v>5588</v>
      </c>
      <c r="AO22" s="215"/>
      <c r="AP22" s="215">
        <v>5282</v>
      </c>
      <c r="AQ22" s="191">
        <f t="shared" si="1"/>
        <v>2.2035878181059658</v>
      </c>
      <c r="AR22" s="215">
        <v>6515</v>
      </c>
      <c r="AS22" s="191">
        <f t="shared" si="2"/>
        <v>2.7179808093450144</v>
      </c>
      <c r="AT22" s="215">
        <v>2529</v>
      </c>
      <c r="AU22" s="191">
        <f t="shared" si="3"/>
        <v>1.0550688360450564</v>
      </c>
      <c r="AV22" s="30">
        <v>2971</v>
      </c>
      <c r="AW22" s="191">
        <f t="shared" si="3"/>
        <v>1.2394659991656236</v>
      </c>
      <c r="AX22" s="30">
        <v>2875</v>
      </c>
    </row>
    <row r="23" spans="1:50" ht="16.5" customHeight="1" thickBot="1">
      <c r="A23" s="37">
        <v>23</v>
      </c>
      <c r="B23" s="242" t="s">
        <v>129</v>
      </c>
      <c r="C23" s="240" t="str">
        <f t="shared" si="4"/>
        <v>{"dossier":p.DossierName2,"klientschaft":`${p.FamilyName2}, ${p.ManFirstName2}`}</v>
      </c>
      <c r="D23" s="235"/>
      <c r="E23" s="212" t="str">
        <f t="shared" si="5"/>
        <v>{"dossier":p.DossierName2,"klientschaft":`${p.FamilyName2}, ${p.ManFirstName2}`}</v>
      </c>
      <c r="F23" s="205" t="s">
        <v>130</v>
      </c>
      <c r="G23" s="226" t="str">
        <f>G12</f>
        <v>p.DossierName2</v>
      </c>
      <c r="H23" s="204" t="s">
        <v>98</v>
      </c>
      <c r="I23" s="205" t="str">
        <f>"${"&amp;$G$5&amp;"}, ${"&amp;$I$5&amp;"}"</f>
        <v>${p.FamilyName2}, ${p.ManFirstName2}</v>
      </c>
      <c r="J23" s="204" t="s">
        <v>131</v>
      </c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35"/>
      <c r="X23" s="235"/>
      <c r="Y23" s="235"/>
      <c r="Z23" s="235"/>
      <c r="AA23" s="235"/>
      <c r="AB23" s="235"/>
      <c r="AC23" s="235"/>
      <c r="AD23" s="235"/>
      <c r="AE23" s="235"/>
      <c r="AF23" s="234"/>
      <c r="AG23" s="235"/>
      <c r="AH23" s="215">
        <v>4761</v>
      </c>
      <c r="AI23" s="215"/>
      <c r="AJ23" s="215">
        <v>3094</v>
      </c>
      <c r="AK23" s="191">
        <f t="shared" si="0"/>
        <v>0.64986347406007139</v>
      </c>
      <c r="AL23" s="215">
        <v>3005</v>
      </c>
      <c r="AM23" s="215"/>
      <c r="AN23" s="215">
        <v>6515</v>
      </c>
      <c r="AO23" s="215"/>
      <c r="AP23" s="215">
        <v>6425</v>
      </c>
      <c r="AQ23" s="191">
        <f t="shared" si="1"/>
        <v>1.3495064062171813</v>
      </c>
      <c r="AR23" s="215">
        <v>5479</v>
      </c>
      <c r="AS23" s="191">
        <f t="shared" si="2"/>
        <v>1.1508086536441924</v>
      </c>
      <c r="AT23" s="215">
        <v>2856</v>
      </c>
      <c r="AU23" s="191">
        <f t="shared" si="3"/>
        <v>0.59987397605545056</v>
      </c>
      <c r="AV23" s="30">
        <v>3298</v>
      </c>
      <c r="AW23" s="191">
        <f t="shared" si="3"/>
        <v>0.69271161520688929</v>
      </c>
      <c r="AX23" s="30">
        <v>3316</v>
      </c>
    </row>
    <row r="24" spans="1:50" ht="18.75" customHeight="1" thickBot="1">
      <c r="A24" s="410">
        <v>24</v>
      </c>
      <c r="B24" s="411" t="s">
        <v>132</v>
      </c>
      <c r="C24" s="240" t="str">
        <f t="shared" ca="1" si="4"/>
        <v>{"panelTitle":"Erwerbssituation / Einnahmen","zahlbarDurch":"BKW Energie AG","pensumm":"100","betrag":"1000","gueltigVon":"01.01.2024","gueltigBis":"31.12.2025","checkbox":"x"}</v>
      </c>
      <c r="D24" s="235"/>
      <c r="E24" s="212" t="str">
        <f t="shared" ca="1" si="5"/>
        <v>{"panelTitle":"Erwerbssituation / Einnahmen","zahlbarDurch":"BKW Energie AG","pensumm":"100","betrag":"1000","gueltigVon":"01.01.2024","gueltigBis":"31.12.2025","checkbox":"x"}</v>
      </c>
      <c r="F24" s="244" t="s">
        <v>133</v>
      </c>
      <c r="G24" s="204" t="s">
        <v>134</v>
      </c>
      <c r="H24" s="204" t="s">
        <v>135</v>
      </c>
      <c r="I24" s="204" t="s">
        <v>136</v>
      </c>
      <c r="J24" s="204" t="s">
        <v>137</v>
      </c>
      <c r="K24" s="204">
        <v>100</v>
      </c>
      <c r="L24" s="204" t="s">
        <v>138</v>
      </c>
      <c r="M24" s="204">
        <v>1000</v>
      </c>
      <c r="N24" s="204" t="s">
        <v>139</v>
      </c>
      <c r="O24" s="204" t="str">
        <f ca="1">"01.01."&amp;YEAR((TODAY()-366))</f>
        <v>01.01.2024</v>
      </c>
      <c r="P24" s="204" t="s">
        <v>140</v>
      </c>
      <c r="Q24" s="223" t="str">
        <f ca="1">"31.12."&amp;YEAR(TODAY())</f>
        <v>31.12.2025</v>
      </c>
      <c r="R24" s="204" t="s">
        <v>141</v>
      </c>
      <c r="S24" s="204" t="s">
        <v>142</v>
      </c>
      <c r="T24" s="204" t="s">
        <v>34</v>
      </c>
      <c r="U24" s="204"/>
      <c r="V24" s="204"/>
      <c r="W24" s="235"/>
      <c r="X24" s="235"/>
      <c r="Y24" s="235"/>
      <c r="Z24" s="235"/>
      <c r="AA24" s="235"/>
      <c r="AB24" s="235"/>
      <c r="AC24" s="235"/>
      <c r="AD24" s="235"/>
      <c r="AE24" s="235"/>
      <c r="AF24" s="231"/>
      <c r="AG24" s="235"/>
      <c r="AK24" s="191" t="e">
        <f t="shared" si="0"/>
        <v>#DIV/0!</v>
      </c>
      <c r="AQ24" s="191" t="e">
        <f t="shared" si="1"/>
        <v>#DIV/0!</v>
      </c>
      <c r="AS24" s="191" t="e">
        <f t="shared" si="2"/>
        <v>#DIV/0!</v>
      </c>
      <c r="AU24" s="191" t="e">
        <f t="shared" si="3"/>
        <v>#DIV/0!</v>
      </c>
      <c r="AV24" s="30">
        <v>5303</v>
      </c>
      <c r="AW24" s="191" t="e">
        <f t="shared" si="3"/>
        <v>#DIV/0!</v>
      </c>
      <c r="AX24" s="30">
        <v>5092</v>
      </c>
    </row>
    <row r="25" spans="1:50" ht="16.5" customHeight="1" thickBot="1">
      <c r="A25" s="37">
        <v>25</v>
      </c>
      <c r="B25" s="242" t="s">
        <v>108</v>
      </c>
      <c r="C25" s="240" t="str">
        <f>E25</f>
        <v>{"searchDossierOrKlient":p.DossierName2,"resultType":"Dossiers"}</v>
      </c>
      <c r="D25" s="52"/>
      <c r="E25" s="212" t="str">
        <f>F25&amp;G25&amp;H25&amp;I25&amp;J25&amp;K25&amp;L25&amp;M25&amp;N25&amp;O25&amp;P25&amp;Q25&amp;R25&amp;S25&amp;T25&amp;U25&amp;V25&amp;W25&amp;X25</f>
        <v>{"searchDossierOrKlient":p.DossierName2,"resultType":"Dossiers"}</v>
      </c>
      <c r="F25" s="205" t="s">
        <v>109</v>
      </c>
      <c r="G25" s="223" t="str">
        <f>G23</f>
        <v>p.DossierName2</v>
      </c>
      <c r="H25" s="205" t="s">
        <v>110</v>
      </c>
      <c r="I25" s="205" t="s">
        <v>111</v>
      </c>
      <c r="J25" s="205" t="s">
        <v>34</v>
      </c>
      <c r="W25" s="52"/>
      <c r="X25" s="52"/>
      <c r="Y25" s="52"/>
      <c r="Z25" s="52"/>
      <c r="AA25" s="52"/>
      <c r="AB25" s="52"/>
      <c r="AC25" s="52"/>
      <c r="AD25" s="52"/>
      <c r="AE25" s="52"/>
      <c r="AF25" s="234"/>
      <c r="AG25" s="52"/>
      <c r="AH25" s="215">
        <v>4873</v>
      </c>
      <c r="AI25" s="215"/>
      <c r="AJ25" s="215">
        <v>4740</v>
      </c>
      <c r="AK25" s="191">
        <f t="shared" si="0"/>
        <v>0.97270675148778984</v>
      </c>
      <c r="AL25" s="215">
        <v>4926</v>
      </c>
      <c r="AM25" s="215"/>
      <c r="AN25" s="215">
        <v>5625</v>
      </c>
      <c r="AO25" s="215"/>
      <c r="AP25" s="215">
        <v>7609</v>
      </c>
      <c r="AQ25" s="191">
        <f t="shared" si="1"/>
        <v>1.5614611122511799</v>
      </c>
      <c r="AR25" s="215">
        <v>6236</v>
      </c>
      <c r="AS25" s="191">
        <f t="shared" si="2"/>
        <v>1.2797044941514468</v>
      </c>
      <c r="AT25" s="215">
        <v>4989</v>
      </c>
      <c r="AU25" s="191">
        <f t="shared" si="3"/>
        <v>1.0238046378001231</v>
      </c>
      <c r="AV25" s="30">
        <v>3945</v>
      </c>
      <c r="AW25" s="191">
        <f t="shared" si="3"/>
        <v>0.80956289759901501</v>
      </c>
      <c r="AX25" s="30">
        <v>3975</v>
      </c>
    </row>
    <row r="26" spans="1:50" s="29" customFormat="1" ht="17.25" customHeight="1">
      <c r="A26" s="412">
        <v>26</v>
      </c>
      <c r="B26" s="413" t="s">
        <v>232</v>
      </c>
      <c r="C26" s="246" t="str">
        <f ca="1">F26&amp;G26&amp;H26&amp;I26&amp;J26&amp;K26&amp;L26&amp;M26&amp;N26&amp;O26 &amp;P26&amp;Q26&amp;R26&amp;S26&amp;T26&amp;U26&amp;V26&amp;W26&amp;X26&amp;Y26&amp;Z26&amp;AA26&amp;AB26&amp;AC26</f>
        <v>{"Klientschaft":`${p.FamilyName2}, ${p.ManFirstName3}`,"Gueltigkeit":"01.01.2025 - 31.12.2025","KKasse":"Arcosana AG","VersNummer":"123","GrundPraemie":"45","ZahnInklusive":"ja","Franchise":"100","Bemerkung":"Test"}</v>
      </c>
      <c r="D26" s="22"/>
      <c r="E26" s="212" t="str">
        <f ca="1">F26&amp;G26&amp;H26&amp;I26&amp;J26&amp;K26&amp;L26&amp;M26&amp;N26&amp;O26&amp;P26&amp;Q26&amp;R26&amp;S26&amp;T26&amp;U26&amp;V26&amp;W26&amp;X26</f>
        <v>{"Klientschaft":`${p.FamilyName2}, ${p.ManFirstName3}`,"Gueltigkeit":"01.01.2025 - 31.12.2025","KKasse":"Arcosana AG","VersNummer":"123","GrundPraemie":"45","ZahnInklusive":"ja","Franchise":"100","Bemerkung":"Test"}</v>
      </c>
      <c r="F26" s="212" t="s">
        <v>233</v>
      </c>
      <c r="G26" s="205" t="str">
        <f>"${"&amp;$G$19&amp;"}, ${"&amp;$I$19&amp;"}"</f>
        <v>${p.FamilyName2}, ${p.ManFirstName3}</v>
      </c>
      <c r="H26" s="212" t="s">
        <v>234</v>
      </c>
      <c r="I26" s="212" t="str">
        <f ca="1">"01.01."&amp;YEAR(TODAY())&amp;" - 31.12."&amp;YEAR(TODAY())</f>
        <v>01.01.2025 - 31.12.2025</v>
      </c>
      <c r="J26" s="212" t="s">
        <v>235</v>
      </c>
      <c r="K26" s="212" t="s">
        <v>236</v>
      </c>
      <c r="L26" s="212" t="s">
        <v>237</v>
      </c>
      <c r="M26" s="212">
        <v>123</v>
      </c>
      <c r="N26" s="212" t="s">
        <v>238</v>
      </c>
      <c r="O26" s="212">
        <v>45</v>
      </c>
      <c r="P26" s="212" t="s">
        <v>239</v>
      </c>
      <c r="Q26" s="212" t="s">
        <v>240</v>
      </c>
      <c r="R26" s="212" t="s">
        <v>241</v>
      </c>
      <c r="S26" s="212">
        <v>100</v>
      </c>
      <c r="T26" s="212" t="s">
        <v>242</v>
      </c>
      <c r="U26" s="212" t="s">
        <v>243</v>
      </c>
      <c r="V26" s="212" t="s">
        <v>34</v>
      </c>
      <c r="AH26" s="215"/>
      <c r="AI26" s="215"/>
      <c r="AJ26" s="215"/>
      <c r="AK26" s="191" t="e">
        <f t="shared" si="0"/>
        <v>#DIV/0!</v>
      </c>
      <c r="AQ26" s="191" t="e">
        <f t="shared" si="1"/>
        <v>#DIV/0!</v>
      </c>
      <c r="AS26" s="191" t="e">
        <f t="shared" si="2"/>
        <v>#DIV/0!</v>
      </c>
      <c r="AT26" s="215"/>
      <c r="AU26" s="191" t="e">
        <f t="shared" si="3"/>
        <v>#DIV/0!</v>
      </c>
      <c r="AV26" s="29">
        <v>5257</v>
      </c>
      <c r="AW26" s="191" t="e">
        <f t="shared" si="3"/>
        <v>#DIV/0!</v>
      </c>
      <c r="AX26" s="215">
        <v>5229</v>
      </c>
    </row>
    <row r="27" spans="1:50" ht="16.5" customHeight="1">
      <c r="A27" s="37">
        <v>27</v>
      </c>
      <c r="B27" s="241" t="s">
        <v>151</v>
      </c>
      <c r="C27" s="240" t="str">
        <f ca="1">E27</f>
        <v>{"entscheidVom":"05.11.2025","begrundung":"Gar keine Begründung","unterstutzungab":"01.11.2025"}</v>
      </c>
      <c r="D27" s="52"/>
      <c r="E27" s="212" t="str">
        <f ca="1">F27&amp;G27&amp;H27&amp;I27&amp;J27&amp;K27&amp;L27&amp;M27&amp;N27&amp;O27&amp;P27&amp;Q27&amp;R27&amp;S27&amp;T27&amp;U27&amp;V27&amp;W27&amp;X27</f>
        <v>{"entscheidVom":"05.11.2025","begrundung":"Gar keine Begründung","unterstutzungab":"01.11.2025"}</v>
      </c>
      <c r="F27" s="205" t="s">
        <v>152</v>
      </c>
      <c r="G27" s="223" t="str">
        <f ca="1">TEXT(TEXT(TODAY(),"DD")&amp;"."&amp;TEXT(TODAY(),"MM")&amp;"."&amp;TEXT(TODAY(),"YYYY"),"DD.MM.YYYY")</f>
        <v>05.11.2025</v>
      </c>
      <c r="H27" s="205" t="s">
        <v>153</v>
      </c>
      <c r="I27" s="205" t="s">
        <v>154</v>
      </c>
      <c r="J27" s="205" t="s">
        <v>155</v>
      </c>
      <c r="K27" s="223" t="str">
        <f ca="1">TEXT(TEXT(1,"DD")&amp;"."&amp;TEXT(TODAY(),"MM")&amp;"."&amp;TEXT(TODAY(),"YYYY"),"DD.MM.YYYY")</f>
        <v>01.11.2025</v>
      </c>
      <c r="L27" s="205" t="s">
        <v>34</v>
      </c>
      <c r="W27" s="52"/>
      <c r="X27" s="52"/>
      <c r="Y27" s="52"/>
      <c r="Z27" s="52"/>
      <c r="AA27" s="52"/>
      <c r="AB27" s="52"/>
      <c r="AC27" s="52"/>
      <c r="AD27" s="52"/>
      <c r="AE27" s="52"/>
      <c r="AF27" s="58"/>
      <c r="AG27" s="52"/>
      <c r="AH27" s="215">
        <v>5177</v>
      </c>
      <c r="AI27" s="215"/>
      <c r="AJ27" s="215">
        <v>5075</v>
      </c>
      <c r="AK27" s="191">
        <f t="shared" si="0"/>
        <v>0.98029746957697506</v>
      </c>
      <c r="AL27" s="215">
        <v>5226</v>
      </c>
      <c r="AM27" s="215"/>
      <c r="AN27" s="215">
        <v>5991</v>
      </c>
      <c r="AO27" s="215"/>
      <c r="AP27" s="215">
        <v>5075</v>
      </c>
      <c r="AQ27" s="191">
        <f t="shared" si="1"/>
        <v>0.98029746957697506</v>
      </c>
      <c r="AR27" s="215">
        <v>6129</v>
      </c>
      <c r="AS27" s="191">
        <f t="shared" si="2"/>
        <v>1.1838902839482326</v>
      </c>
      <c r="AT27" s="215">
        <v>4999</v>
      </c>
      <c r="AU27" s="191">
        <f t="shared" si="3"/>
        <v>0.96561715279119176</v>
      </c>
      <c r="AV27" s="30">
        <v>4028</v>
      </c>
      <c r="AW27" s="191">
        <f t="shared" si="3"/>
        <v>0.77805678964651337</v>
      </c>
      <c r="AX27" s="30">
        <v>4684</v>
      </c>
    </row>
    <row r="28" spans="1:50" ht="16.5" customHeight="1">
      <c r="A28" s="37">
        <v>29</v>
      </c>
      <c r="B28" s="247" t="s">
        <v>156</v>
      </c>
      <c r="C28" s="240" t="str">
        <f ca="1">E28</f>
        <v>{"ubernahmeWohnkostenCFH":"100","uebernahmeWohnkostenVon":"05.11.2025","uebernahmeWohnkostenBis":"27.5.2026","uebernahemBegruendung":"Die Wohnungen sind teuer hier"}</v>
      </c>
      <c r="D28" s="52"/>
      <c r="E28" s="212" t="str">
        <f ca="1">F28&amp;G28&amp;H28&amp;I28&amp;J28&amp;K28&amp;L28&amp;M28&amp;N28&amp;O28&amp;P28&amp;Q28&amp;R28&amp;S28&amp;T28&amp;U28&amp;V28&amp;W28&amp;X28</f>
        <v>{"ubernahmeWohnkostenCFH":"100","uebernahmeWohnkostenVon":"05.11.2025","uebernahmeWohnkostenBis":"27.5.2026","uebernahemBegruendung":"Die Wohnungen sind teuer hier"}</v>
      </c>
      <c r="F28" s="205" t="s">
        <v>157</v>
      </c>
      <c r="G28" s="205">
        <v>100</v>
      </c>
      <c r="H28" s="205" t="s">
        <v>158</v>
      </c>
      <c r="I28" s="223" t="str">
        <f ca="1">TEXT(TEXT(TODAY(),"DD")&amp;"."&amp;TEXT(TODAY(),"MM")&amp;"."&amp;TEXT(TODAY(),"YYYY"),"DD.MM.YYYY")</f>
        <v>05.11.2025</v>
      </c>
      <c r="J28" s="205" t="s">
        <v>159</v>
      </c>
      <c r="K28" s="223" t="str">
        <f ca="1">"27."&amp;MONTH(TODAY()+180)&amp;"."&amp;YEAR(TODAY()+180)</f>
        <v>27.5.2026</v>
      </c>
      <c r="L28" s="205" t="s">
        <v>160</v>
      </c>
      <c r="M28" s="205" t="s">
        <v>161</v>
      </c>
      <c r="N28" s="205" t="s">
        <v>34</v>
      </c>
      <c r="W28" s="52"/>
      <c r="X28" s="52"/>
      <c r="Y28" s="52"/>
      <c r="Z28" s="52"/>
      <c r="AA28" s="52"/>
      <c r="AB28" s="52"/>
      <c r="AC28" s="52"/>
      <c r="AD28" s="52"/>
      <c r="AE28" s="52"/>
      <c r="AF28" s="28"/>
      <c r="AG28" s="52"/>
      <c r="AH28" s="215">
        <v>11210</v>
      </c>
      <c r="AI28" s="215"/>
      <c r="AJ28" s="215">
        <v>9943</v>
      </c>
      <c r="AK28" s="191">
        <f t="shared" si="0"/>
        <v>0.8869759143621766</v>
      </c>
      <c r="AL28" s="215">
        <v>10600</v>
      </c>
      <c r="AM28" s="215"/>
      <c r="AN28" s="215">
        <v>20197</v>
      </c>
      <c r="AO28" s="215"/>
      <c r="AP28" s="215">
        <v>21337</v>
      </c>
      <c r="AQ28" s="191">
        <f t="shared" si="1"/>
        <v>1.9033898305084747</v>
      </c>
      <c r="AR28" s="215">
        <v>17788</v>
      </c>
      <c r="AS28" s="191">
        <f t="shared" si="2"/>
        <v>1.5867975022301517</v>
      </c>
      <c r="AT28" s="215">
        <v>8511</v>
      </c>
      <c r="AU28" s="191">
        <f t="shared" si="3"/>
        <v>0.75923282783229262</v>
      </c>
      <c r="AV28" s="30">
        <v>12315</v>
      </c>
      <c r="AW28" s="191">
        <f t="shared" si="3"/>
        <v>1.0985727029438002</v>
      </c>
      <c r="AX28" s="30">
        <v>12084</v>
      </c>
    </row>
    <row r="29" spans="1:50" ht="16.5" customHeight="1">
      <c r="A29" s="420">
        <v>30</v>
      </c>
      <c r="B29" s="419" t="s">
        <v>163</v>
      </c>
      <c r="C29" s="240" t="str">
        <f t="shared" ref="C29:C35" ca="1" si="6">E29</f>
        <v>{"lEvonDate":"05.11.2025","lEbisDate":"05.11.2026","checkStatus":"In Bearbeitung"}</v>
      </c>
      <c r="D29" s="235"/>
      <c r="E29" s="212" t="str">
        <f t="shared" ref="E29:E39" ca="1" si="7">F29&amp;G29&amp;H29&amp;I29&amp;J29&amp;K29&amp;L29&amp;M29&amp;N29&amp;O29&amp;P29&amp;Q29&amp;R29&amp;S29&amp;T29&amp;U29&amp;V29&amp;W29&amp;X29</f>
        <v>{"lEvonDate":"05.11.2025","lEbisDate":"05.11.2026","checkStatus":"In Bearbeitung"}</v>
      </c>
      <c r="F29" s="204" t="s">
        <v>164</v>
      </c>
      <c r="G29" s="223" t="str">
        <f ca="1">TEXT(TEXT(TODAY(),"DD")&amp;"."&amp;TEXT(TODAY(),"MM")&amp;"."&amp;TEXT(TODAY(),"YYYY"),"DD.MM.YYYY")</f>
        <v>05.11.2025</v>
      </c>
      <c r="H29" s="204" t="s">
        <v>165</v>
      </c>
      <c r="I29" s="223" t="str">
        <f ca="1">TEXT(TEXT(TODAY(),"DD")&amp;"."&amp;TEXT(TODAY(),"MM")&amp;"."&amp;TEXT(TODAY()+360,"YYYY"),"DD.MM.YYYY")</f>
        <v>05.11.2026</v>
      </c>
      <c r="J29" s="204" t="s">
        <v>101</v>
      </c>
      <c r="K29" s="204" t="s">
        <v>102</v>
      </c>
      <c r="L29" s="204" t="s">
        <v>34</v>
      </c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15">
        <v>1395</v>
      </c>
      <c r="AI29" s="215"/>
      <c r="AJ29" s="215">
        <v>1490</v>
      </c>
      <c r="AK29" s="191">
        <f t="shared" si="0"/>
        <v>1.0681003584229392</v>
      </c>
      <c r="AL29" s="215">
        <v>1347</v>
      </c>
      <c r="AM29" s="215"/>
      <c r="AN29" s="215">
        <v>4456</v>
      </c>
      <c r="AO29" s="215"/>
      <c r="AP29" s="215">
        <v>4014</v>
      </c>
      <c r="AQ29" s="191">
        <f t="shared" si="1"/>
        <v>2.8774193548387097</v>
      </c>
      <c r="AR29" s="215">
        <v>4179</v>
      </c>
      <c r="AS29" s="191">
        <f t="shared" si="2"/>
        <v>2.9956989247311827</v>
      </c>
      <c r="AT29" s="215">
        <v>1088</v>
      </c>
      <c r="AU29" s="191">
        <f t="shared" si="3"/>
        <v>0.77992831541218643</v>
      </c>
      <c r="AV29" s="30">
        <v>2049</v>
      </c>
      <c r="AW29" s="191">
        <f t="shared" si="3"/>
        <v>1.4688172043010752</v>
      </c>
      <c r="AX29" s="30">
        <v>2264</v>
      </c>
    </row>
    <row r="30" spans="1:50" ht="16.5" customHeight="1">
      <c r="A30" s="416"/>
      <c r="B30" s="415" t="s">
        <v>103</v>
      </c>
      <c r="C30" s="240" t="str">
        <f>E30</f>
        <v>{"username":"aventis-gemeinde-ma@diartis.ch","password":"#xFymiADPk7wJG/FWMz"}</v>
      </c>
      <c r="D30" s="235"/>
      <c r="E30" s="212" t="str">
        <f>F30&amp;G30&amp;H30&amp;I30&amp;J30&amp;K30&amp;L30&amp;M30&amp;N30&amp;O30&amp;P30&amp;Q30&amp;R30&amp;S30&amp;T30&amp;U30&amp;V30&amp;W30&amp;X30</f>
        <v>{"username":"aventis-gemeinde-ma@diartis.ch","password":"#xFymiADPk7wJG/FWMz"}</v>
      </c>
      <c r="F30" s="204" t="s">
        <v>27</v>
      </c>
      <c r="G30" s="213" t="s">
        <v>169</v>
      </c>
      <c r="H30" s="204" t="s">
        <v>29</v>
      </c>
      <c r="I30" s="233" t="s">
        <v>170</v>
      </c>
      <c r="J30" s="204" t="s">
        <v>34</v>
      </c>
      <c r="K30" s="223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15">
        <v>10769</v>
      </c>
      <c r="AI30" s="215"/>
      <c r="AJ30" s="215">
        <v>10884</v>
      </c>
      <c r="AK30" s="191">
        <f t="shared" si="0"/>
        <v>1.0106788002600056</v>
      </c>
      <c r="AL30" s="215">
        <v>10855</v>
      </c>
      <c r="AM30" s="215"/>
      <c r="AN30" s="215">
        <v>10387</v>
      </c>
      <c r="AO30" s="215"/>
      <c r="AP30" s="215">
        <v>17308</v>
      </c>
      <c r="AQ30" s="191">
        <f t="shared" si="1"/>
        <v>1.6072058686971864</v>
      </c>
      <c r="AR30" s="215">
        <v>15180</v>
      </c>
      <c r="AS30" s="191">
        <f t="shared" si="2"/>
        <v>1.4096016343207354</v>
      </c>
      <c r="AT30" s="215">
        <v>10217</v>
      </c>
      <c r="AU30" s="191">
        <f t="shared" si="3"/>
        <v>0.94874175875197331</v>
      </c>
      <c r="AV30" s="30">
        <v>12222</v>
      </c>
      <c r="AW30" s="191">
        <f t="shared" si="3"/>
        <v>1.134924319806853</v>
      </c>
      <c r="AX30" s="30">
        <v>12394</v>
      </c>
    </row>
    <row r="31" spans="1:50" ht="16.5" customHeight="1">
      <c r="A31" s="414">
        <v>32</v>
      </c>
      <c r="B31" s="415" t="s">
        <v>103</v>
      </c>
      <c r="C31" s="240" t="str">
        <f t="shared" si="6"/>
        <v>{"username":"Bern.Sachbearbeiterin@diartis.ch","password":"XXxa22?pdTA66-S@"}</v>
      </c>
      <c r="D31" s="235"/>
      <c r="E31" s="212" t="str">
        <f t="shared" si="7"/>
        <v>{"username":"Bern.Sachbearbeiterin@diartis.ch","password":"XXxa22?pdTA66-S@"}</v>
      </c>
      <c r="F31" s="204" t="s">
        <v>27</v>
      </c>
      <c r="G31" s="213" t="s">
        <v>28</v>
      </c>
      <c r="H31" s="204" t="s">
        <v>29</v>
      </c>
      <c r="I31" s="233" t="s">
        <v>30</v>
      </c>
      <c r="J31" s="204" t="s">
        <v>34</v>
      </c>
      <c r="K31" s="223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15">
        <v>8652</v>
      </c>
      <c r="AI31" s="215"/>
      <c r="AJ31" s="215">
        <v>8415</v>
      </c>
      <c r="AK31" s="191">
        <f t="shared" si="0"/>
        <v>0.97260748959778087</v>
      </c>
      <c r="AL31" s="215">
        <v>8627</v>
      </c>
      <c r="AM31" s="215"/>
      <c r="AN31" s="215">
        <v>12743</v>
      </c>
      <c r="AO31" s="215"/>
      <c r="AP31" s="215">
        <v>13421</v>
      </c>
      <c r="AQ31" s="191">
        <f t="shared" si="1"/>
        <v>1.551202034211743</v>
      </c>
      <c r="AR31" s="215">
        <v>44292</v>
      </c>
      <c r="AS31" s="191">
        <f t="shared" si="2"/>
        <v>5.1192787794729542</v>
      </c>
      <c r="AT31" s="215">
        <v>9257</v>
      </c>
      <c r="AU31" s="191">
        <f t="shared" si="3"/>
        <v>1.0699260286638927</v>
      </c>
      <c r="AV31" s="30">
        <v>9452</v>
      </c>
      <c r="AW31" s="191">
        <f t="shared" si="3"/>
        <v>1.0924641701340732</v>
      </c>
      <c r="AX31" s="30">
        <v>8543</v>
      </c>
    </row>
    <row r="32" spans="1:50" ht="16.5" customHeight="1">
      <c r="A32" s="414">
        <v>34</v>
      </c>
      <c r="B32" s="417" t="s">
        <v>244</v>
      </c>
      <c r="C32" s="240" t="str">
        <f>E32</f>
        <v>{"dossier":p.DossierName2,"buttonName":"Prüfung OK","checkEntscheid":"Geprüft"}</v>
      </c>
      <c r="D32" s="235"/>
      <c r="E32" s="212" t="str">
        <f t="shared" si="7"/>
        <v>{"dossier":p.DossierName2,"buttonName":"Prüfung OK","checkEntscheid":"Geprüft"}</v>
      </c>
      <c r="F32" s="204" t="s">
        <v>130</v>
      </c>
      <c r="G32" s="249" t="str">
        <f>G25</f>
        <v>p.DossierName2</v>
      </c>
      <c r="H32" s="204" t="s">
        <v>167</v>
      </c>
      <c r="I32" s="204" t="s">
        <v>168</v>
      </c>
      <c r="J32" s="204" t="s">
        <v>245</v>
      </c>
      <c r="K32" s="204" t="s">
        <v>246</v>
      </c>
      <c r="L32" s="204" t="s">
        <v>34</v>
      </c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15">
        <v>8569</v>
      </c>
      <c r="AI32" s="215"/>
      <c r="AJ32" s="215">
        <v>8674</v>
      </c>
      <c r="AK32" s="191">
        <f t="shared" si="0"/>
        <v>1.0122534718170149</v>
      </c>
      <c r="AL32" s="215">
        <v>8624</v>
      </c>
      <c r="AM32" s="215"/>
      <c r="AN32" s="215">
        <v>15490</v>
      </c>
      <c r="AO32" s="215"/>
      <c r="AP32" s="215">
        <v>15502</v>
      </c>
      <c r="AQ32" s="191">
        <f t="shared" si="1"/>
        <v>1.8090792391177499</v>
      </c>
      <c r="AR32" s="215">
        <v>29105</v>
      </c>
      <c r="AS32" s="191">
        <f t="shared" si="2"/>
        <v>3.3965456879449176</v>
      </c>
      <c r="AT32" s="215">
        <v>9568</v>
      </c>
      <c r="AU32" s="191">
        <f t="shared" si="3"/>
        <v>1.1165830318590266</v>
      </c>
      <c r="AV32" s="30">
        <v>10373</v>
      </c>
      <c r="AW32" s="191">
        <f t="shared" si="3"/>
        <v>1.2105263157894737</v>
      </c>
      <c r="AX32" s="30">
        <v>11641</v>
      </c>
    </row>
    <row r="33" spans="1:50" ht="16.5" customHeight="1">
      <c r="A33" s="416">
        <v>35</v>
      </c>
      <c r="B33" s="415" t="s">
        <v>103</v>
      </c>
      <c r="C33" s="240" t="str">
        <f>E33</f>
        <v>{"username":"aventis-gemeinde-ma@diartis.ch","password":"#xFymiADPk7wJG/FWMz"}</v>
      </c>
      <c r="D33" s="235"/>
      <c r="E33" s="212" t="str">
        <f t="shared" si="7"/>
        <v>{"username":"aventis-gemeinde-ma@diartis.ch","password":"#xFymiADPk7wJG/FWMz"}</v>
      </c>
      <c r="F33" s="204" t="s">
        <v>27</v>
      </c>
      <c r="G33" s="213" t="s">
        <v>169</v>
      </c>
      <c r="H33" s="204" t="s">
        <v>29</v>
      </c>
      <c r="I33" s="233" t="s">
        <v>170</v>
      </c>
      <c r="J33" s="204" t="s">
        <v>34</v>
      </c>
      <c r="K33" s="223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15">
        <v>9133</v>
      </c>
      <c r="AI33" s="215"/>
      <c r="AJ33" s="215">
        <v>9029</v>
      </c>
      <c r="AK33" s="191">
        <f t="shared" si="0"/>
        <v>0.9886127230920837</v>
      </c>
      <c r="AL33" s="215">
        <v>10042</v>
      </c>
      <c r="AM33" s="215"/>
      <c r="AN33" s="215">
        <v>13106</v>
      </c>
      <c r="AO33" s="215"/>
      <c r="AP33" s="215">
        <v>15561</v>
      </c>
      <c r="AQ33" s="191">
        <f t="shared" si="1"/>
        <v>1.7038213073469834</v>
      </c>
      <c r="AR33" s="215">
        <v>17272</v>
      </c>
      <c r="AS33" s="191">
        <f t="shared" si="2"/>
        <v>1.8911639110916456</v>
      </c>
      <c r="AT33" s="215">
        <v>9475</v>
      </c>
      <c r="AU33" s="191">
        <f t="shared" si="3"/>
        <v>1.0374466221394942</v>
      </c>
      <c r="AV33" s="30">
        <v>10600</v>
      </c>
      <c r="AW33" s="191">
        <f t="shared" si="3"/>
        <v>1.1606263002299353</v>
      </c>
      <c r="AX33" s="30">
        <v>10012</v>
      </c>
    </row>
    <row r="34" spans="1:50" ht="16.5" customHeight="1">
      <c r="A34" s="416">
        <v>37</v>
      </c>
      <c r="B34" s="417" t="s">
        <v>244</v>
      </c>
      <c r="C34" s="240" t="str">
        <f t="shared" si="6"/>
        <v>{"dossier":p.DossierName2,"buttonName":"Bewilligen","checkEntscheid":""}</v>
      </c>
      <c r="D34" s="235"/>
      <c r="E34" s="212" t="str">
        <f t="shared" si="7"/>
        <v>{"dossier":p.DossierName2,"buttonName":"Bewilligen","checkEntscheid":""}</v>
      </c>
      <c r="F34" s="204" t="s">
        <v>130</v>
      </c>
      <c r="G34" s="249" t="str">
        <f>G32</f>
        <v>p.DossierName2</v>
      </c>
      <c r="H34" s="204" t="s">
        <v>167</v>
      </c>
      <c r="I34" s="204" t="s">
        <v>105</v>
      </c>
      <c r="J34" s="204" t="s">
        <v>245</v>
      </c>
      <c r="K34" s="204"/>
      <c r="L34" s="204" t="s">
        <v>34</v>
      </c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15">
        <v>8024</v>
      </c>
      <c r="AI34" s="215"/>
      <c r="AJ34" s="215">
        <v>7910</v>
      </c>
      <c r="AK34" s="191">
        <f t="shared" si="0"/>
        <v>0.98579262213359919</v>
      </c>
      <c r="AL34" s="215">
        <v>9136</v>
      </c>
      <c r="AM34" s="215"/>
      <c r="AN34" s="215">
        <v>12573</v>
      </c>
      <c r="AO34" s="215"/>
      <c r="AP34" s="215">
        <v>14523</v>
      </c>
      <c r="AQ34" s="191">
        <f t="shared" si="1"/>
        <v>1.8099451645064806</v>
      </c>
      <c r="AR34" s="215">
        <v>13839</v>
      </c>
      <c r="AS34" s="191">
        <f t="shared" si="2"/>
        <v>1.7247008973080757</v>
      </c>
      <c r="AT34" s="215">
        <v>8805</v>
      </c>
      <c r="AU34" s="191">
        <f t="shared" si="3"/>
        <v>1.097333000997009</v>
      </c>
      <c r="AV34" s="30">
        <v>10636</v>
      </c>
      <c r="AW34" s="191">
        <f t="shared" si="3"/>
        <v>1.3255234297108673</v>
      </c>
      <c r="AX34" s="30">
        <v>10207</v>
      </c>
    </row>
    <row r="35" spans="1:50" ht="16.5" customHeight="1" thickBot="1">
      <c r="A35" s="414">
        <v>38</v>
      </c>
      <c r="B35" s="415" t="s">
        <v>103</v>
      </c>
      <c r="C35" s="240" t="str">
        <f t="shared" si="6"/>
        <v>{"username":"Bern.Sachbearbeiterin@diartis.ch","password":"XXxa22?pdTA66-S@"}</v>
      </c>
      <c r="D35" s="235"/>
      <c r="E35" s="212" t="str">
        <f t="shared" si="7"/>
        <v>{"username":"Bern.Sachbearbeiterin@diartis.ch","password":"XXxa22?pdTA66-S@"}</v>
      </c>
      <c r="F35" s="204" t="s">
        <v>27</v>
      </c>
      <c r="G35" s="213" t="s">
        <v>28</v>
      </c>
      <c r="H35" s="204" t="s">
        <v>29</v>
      </c>
      <c r="I35" s="233" t="s">
        <v>30</v>
      </c>
      <c r="J35" s="204" t="s">
        <v>34</v>
      </c>
      <c r="K35" s="223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15">
        <v>10174</v>
      </c>
      <c r="AI35" s="215"/>
      <c r="AJ35" s="215">
        <v>10415</v>
      </c>
      <c r="AK35" s="191">
        <f t="shared" si="0"/>
        <v>1.0236878317279339</v>
      </c>
      <c r="AL35" s="215">
        <v>10316</v>
      </c>
      <c r="AM35" s="215"/>
      <c r="AN35" s="215">
        <v>13898</v>
      </c>
      <c r="AO35" s="215"/>
      <c r="AP35" s="215">
        <v>18727</v>
      </c>
      <c r="AQ35" s="191">
        <f t="shared" si="1"/>
        <v>1.8406723019461373</v>
      </c>
      <c r="AR35" s="215">
        <v>13729</v>
      </c>
      <c r="AS35" s="191">
        <f t="shared" si="2"/>
        <v>1.3494200904265776</v>
      </c>
      <c r="AT35" s="215">
        <v>9706</v>
      </c>
      <c r="AU35" s="191">
        <f t="shared" si="3"/>
        <v>0.95400039315903284</v>
      </c>
      <c r="AV35" s="30">
        <v>9589</v>
      </c>
      <c r="AW35" s="191">
        <f t="shared" si="3"/>
        <v>0.942500491448791</v>
      </c>
      <c r="AX35" s="30">
        <v>9215</v>
      </c>
    </row>
    <row r="36" spans="1:50" ht="16.5" customHeight="1" thickBot="1">
      <c r="A36" s="414">
        <v>40</v>
      </c>
      <c r="B36" s="418" t="s">
        <v>108</v>
      </c>
      <c r="C36" s="240" t="str">
        <f>E36</f>
        <v>{"searchDossierOrKlient":p.DossierName2,"resultType":"Dossiers"}</v>
      </c>
      <c r="D36" s="52"/>
      <c r="E36" s="212" t="str">
        <f>F36&amp;G36&amp;H36&amp;I36&amp;J36&amp;K36&amp;L36&amp;M36&amp;N36&amp;O36&amp;P36&amp;Q36&amp;R36&amp;S36&amp;T36&amp;U36&amp;V36&amp;W36&amp;X36</f>
        <v>{"searchDossierOrKlient":p.DossierName2,"resultType":"Dossiers"}</v>
      </c>
      <c r="F36" s="205" t="s">
        <v>109</v>
      </c>
      <c r="G36" s="223" t="str">
        <f>G34</f>
        <v>p.DossierName2</v>
      </c>
      <c r="H36" s="205" t="s">
        <v>110</v>
      </c>
      <c r="I36" s="205" t="s">
        <v>111</v>
      </c>
      <c r="J36" s="205" t="s">
        <v>34</v>
      </c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215">
        <v>5444</v>
      </c>
      <c r="AI36" s="215"/>
      <c r="AJ36" s="215">
        <v>5439</v>
      </c>
      <c r="AK36" s="191">
        <f t="shared" si="0"/>
        <v>0.99908155767817786</v>
      </c>
      <c r="AL36" s="215">
        <v>5620</v>
      </c>
      <c r="AM36" s="215"/>
      <c r="AN36" s="215">
        <v>8913</v>
      </c>
      <c r="AO36" s="215"/>
      <c r="AP36" s="215">
        <v>7794</v>
      </c>
      <c r="AQ36" s="191">
        <f t="shared" si="1"/>
        <v>1.4316678912564291</v>
      </c>
      <c r="AR36" s="215">
        <v>8464</v>
      </c>
      <c r="AS36" s="191">
        <f t="shared" si="2"/>
        <v>1.5547391623806024</v>
      </c>
      <c r="AT36" s="215">
        <v>6464</v>
      </c>
      <c r="AU36" s="191">
        <f t="shared" si="3"/>
        <v>1.1873622336517267</v>
      </c>
      <c r="AV36" s="30">
        <v>10941</v>
      </c>
      <c r="AW36" s="191">
        <f t="shared" si="3"/>
        <v>2.009735488611315</v>
      </c>
      <c r="AX36" s="30">
        <v>10720</v>
      </c>
    </row>
    <row r="37" spans="1:50" ht="21.75" customHeight="1">
      <c r="A37" s="414">
        <v>41</v>
      </c>
      <c r="B37" s="415" t="s">
        <v>172</v>
      </c>
      <c r="C37" s="240" t="str">
        <f ca="1">E37</f>
        <v xml:space="preserve">{"verwendungPeriode":"November 2025,Dezember 2025,Januar 2026,Februar 2026,März 2026,April 2026,Mai 2026","status":"Zu bezahlen"}																				
</v>
      </c>
      <c r="D37" s="235" t="s">
        <v>395</v>
      </c>
      <c r="E37" s="212" t="str">
        <f ca="1">F37&amp;G37&amp;H37&amp;I37&amp;J37&amp;K37&amp;L37&amp;M37&amp;N37&amp;O37&amp;P37&amp;Q37&amp;R37&amp;S37&amp;T37&amp;U37&amp;V37&amp;W37</f>
        <v xml:space="preserve">{"verwendungPeriode":"November 2025,Dezember 2025,Januar 2026,Februar 2026,März 2026,April 2026,Mai 2026","status":"Zu bezahlen"}																				
</v>
      </c>
      <c r="F37" s="204" t="s">
        <v>174</v>
      </c>
      <c r="G37" s="249" t="str">
        <f ca="1">F76&amp;","&amp;F77&amp;","&amp;F78&amp;","&amp;F79&amp;","&amp;F80&amp;","&amp;F81&amp;","&amp;F82</f>
        <v>November 2025,Dezember 2025,Januar 2026,Februar 2026,März 2026,April 2026,Mai 2026</v>
      </c>
      <c r="H37" s="204"/>
      <c r="I37" s="219"/>
      <c r="J37" s="204" t="s">
        <v>247</v>
      </c>
      <c r="K37" s="223" t="s">
        <v>177</v>
      </c>
      <c r="L37" s="212" t="s">
        <v>248</v>
      </c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35"/>
      <c r="X37" s="235"/>
      <c r="Y37" s="235"/>
      <c r="Z37" s="235"/>
      <c r="AA37" s="235"/>
      <c r="AB37" s="235"/>
      <c r="AC37" s="235"/>
      <c r="AD37" s="235"/>
      <c r="AE37" s="235"/>
      <c r="AF37" s="235"/>
      <c r="AG37" s="235"/>
      <c r="AH37" s="215">
        <v>0</v>
      </c>
      <c r="AI37" s="215" t="s">
        <v>249</v>
      </c>
      <c r="AJ37" s="215">
        <v>5592</v>
      </c>
      <c r="AK37" s="191" t="e">
        <f t="shared" si="0"/>
        <v>#DIV/0!</v>
      </c>
      <c r="AL37" s="215">
        <v>5201</v>
      </c>
      <c r="AM37" s="215"/>
      <c r="AN37" s="215">
        <v>9343</v>
      </c>
      <c r="AO37" s="215"/>
      <c r="AP37" s="215">
        <v>10432</v>
      </c>
      <c r="AQ37" s="191" t="e">
        <f t="shared" si="1"/>
        <v>#DIV/0!</v>
      </c>
      <c r="AR37" s="215">
        <v>9850</v>
      </c>
      <c r="AS37" s="191" t="e">
        <f t="shared" si="2"/>
        <v>#DIV/0!</v>
      </c>
      <c r="AT37" s="215">
        <v>5044</v>
      </c>
      <c r="AU37" s="191" t="e">
        <f t="shared" si="3"/>
        <v>#DIV/0!</v>
      </c>
      <c r="AV37" s="30">
        <v>6160</v>
      </c>
      <c r="AW37" s="191" t="e">
        <f t="shared" si="3"/>
        <v>#DIV/0!</v>
      </c>
      <c r="AX37" s="30">
        <v>5947</v>
      </c>
    </row>
    <row r="38" spans="1:50" ht="16.5" customHeight="1">
      <c r="A38" s="37"/>
      <c r="B38" s="250" t="s">
        <v>179</v>
      </c>
      <c r="C38" s="240" t="str">
        <f>E38</f>
        <v>{"haftungsType":"Einseitige Solidarhaftung erfassen","haftungDurch":`${p.FamilyName2}, ${p.ManFirstName2}`,"haftungVon":"01.01.2024","haftungBis":"31.12.2024","haftungFuer":`${p.FamilyName2}, ${p.ManFirstName3}`,"person1":"","person2":""}</v>
      </c>
      <c r="D38" s="55"/>
      <c r="E38" s="212" t="str">
        <f t="shared" si="7"/>
        <v>{"haftungsType":"Einseitige Solidarhaftung erfassen","haftungDurch":`${p.FamilyName2}, ${p.ManFirstName2}`,"haftungVon":"01.01.2024","haftungBis":"31.12.2024","haftungFuer":`${p.FamilyName2}, ${p.ManFirstName3}`,"person1":"","person2":""}</v>
      </c>
      <c r="F38" s="205" t="s">
        <v>180</v>
      </c>
      <c r="G38" s="205" t="s">
        <v>181</v>
      </c>
      <c r="H38" s="205" t="s">
        <v>182</v>
      </c>
      <c r="I38" s="205" t="str">
        <f>I23</f>
        <v>${p.FamilyName2}, ${p.ManFirstName2}</v>
      </c>
      <c r="J38" s="205" t="s">
        <v>183</v>
      </c>
      <c r="K38" s="205" t="s">
        <v>184</v>
      </c>
      <c r="L38" s="205" t="s">
        <v>185</v>
      </c>
      <c r="M38" s="219" t="s">
        <v>186</v>
      </c>
      <c r="N38" s="205" t="s">
        <v>187</v>
      </c>
      <c r="O38" s="205" t="str">
        <f>"${"&amp;$G$5&amp;"}, ${"&amp;$H$47&amp;"}"</f>
        <v>${p.FamilyName2}, ${p.ManFirstName3}</v>
      </c>
      <c r="P38" s="205" t="s">
        <v>188</v>
      </c>
      <c r="Q38" s="223"/>
      <c r="R38" s="205" t="s">
        <v>189</v>
      </c>
      <c r="T38" s="205" t="s">
        <v>34</v>
      </c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K38" s="191" t="e">
        <f>AJ38/(#REF!)</f>
        <v>#REF!</v>
      </c>
      <c r="AQ38" s="191" t="e">
        <f>AP38/(#REF!)</f>
        <v>#REF!</v>
      </c>
      <c r="AS38" s="191" t="e">
        <f>AR38/(#REF!)</f>
        <v>#REF!</v>
      </c>
      <c r="AU38" s="191" t="e">
        <f>AT38/(#REF!)</f>
        <v>#REF!</v>
      </c>
      <c r="AW38" s="191" t="e">
        <f>AV38/(#REF!)</f>
        <v>#REF!</v>
      </c>
    </row>
    <row r="39" spans="1:50" ht="16.5" customHeight="1">
      <c r="A39" s="251"/>
      <c r="B39" s="250" t="s">
        <v>179</v>
      </c>
      <c r="C39" s="240" t="str">
        <f>E39</f>
        <v>{"haftungsType":"Einzelhaftung erfassen","haftungDurch":`${p.FamilyName2}, ${p.ManFirstName2}`,"haftungVon":"01.01.2024","haftungBis":"31.12.2024","haftungFuer":`${p.FamilyName2}, ${p.GirlFirstName2}`,"person1":"","person2":""}</v>
      </c>
      <c r="D39" s="55"/>
      <c r="E39" s="212" t="str">
        <f t="shared" si="7"/>
        <v>{"haftungsType":"Einzelhaftung erfassen","haftungDurch":`${p.FamilyName2}, ${p.ManFirstName2}`,"haftungVon":"01.01.2024","haftungBis":"31.12.2024","haftungFuer":`${p.FamilyName2}, ${p.GirlFirstName2}`,"person1":"","person2":""}</v>
      </c>
      <c r="F39" s="205" t="s">
        <v>180</v>
      </c>
      <c r="G39" s="205" t="s">
        <v>190</v>
      </c>
      <c r="H39" s="205" t="s">
        <v>182</v>
      </c>
      <c r="I39" s="205" t="str">
        <f>I23</f>
        <v>${p.FamilyName2}, ${p.ManFirstName2}</v>
      </c>
      <c r="J39" s="205" t="s">
        <v>183</v>
      </c>
      <c r="K39" s="205" t="s">
        <v>184</v>
      </c>
      <c r="L39" s="205" t="s">
        <v>185</v>
      </c>
      <c r="M39" s="219" t="s">
        <v>186</v>
      </c>
      <c r="N39" s="205" t="s">
        <v>187</v>
      </c>
      <c r="O39" s="205" t="str">
        <f>"${"&amp;$G$5&amp;"}, ${"&amp;$H$46&amp;"}"</f>
        <v>${p.FamilyName2}, ${p.GirlFirstName2}</v>
      </c>
      <c r="P39" s="205" t="s">
        <v>188</v>
      </c>
      <c r="Q39" s="223"/>
      <c r="R39" s="205" t="s">
        <v>189</v>
      </c>
      <c r="T39" s="205" t="s">
        <v>34</v>
      </c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K39" s="191" t="e">
        <f>AJ39/(#REF!)</f>
        <v>#REF!</v>
      </c>
      <c r="AQ39" s="191" t="e">
        <f>AP39/(#REF!)</f>
        <v>#REF!</v>
      </c>
      <c r="AS39" s="191" t="e">
        <f>AR39/(#REF!)</f>
        <v>#REF!</v>
      </c>
      <c r="AU39" s="191" t="e">
        <f>AT39/(#REF!)</f>
        <v>#REF!</v>
      </c>
      <c r="AW39" s="191" t="e">
        <f>AV39/(#REF!)</f>
        <v>#REF!</v>
      </c>
    </row>
    <row r="40" spans="1:50" ht="16.5" customHeight="1">
      <c r="B40" s="237"/>
      <c r="C40" s="240"/>
      <c r="F40" s="204"/>
      <c r="H40" s="204"/>
      <c r="J40" s="204"/>
      <c r="L40" s="204"/>
      <c r="N40" s="204"/>
      <c r="P40" s="204"/>
      <c r="R40" s="204"/>
      <c r="T40" s="204"/>
      <c r="V40" s="204"/>
      <c r="AK40" s="191" t="e">
        <f>AJ40/(#REF!)</f>
        <v>#REF!</v>
      </c>
      <c r="AQ40" s="191" t="e">
        <f>AP40/(#REF!)</f>
        <v>#REF!</v>
      </c>
      <c r="AS40" s="191" t="e">
        <f>AR40/(#REF!)</f>
        <v>#REF!</v>
      </c>
      <c r="AU40" s="191" t="e">
        <f>AT40/(#REF!)</f>
        <v>#REF!</v>
      </c>
      <c r="AW40" s="191" t="e">
        <f>AV40/(#REF!)</f>
        <v>#REF!</v>
      </c>
    </row>
    <row r="41" spans="1:50" s="25" customFormat="1" ht="16.5" customHeight="1">
      <c r="A41" s="173"/>
      <c r="B41" s="174" t="s">
        <v>203</v>
      </c>
      <c r="C41" s="252"/>
      <c r="E41" s="253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AK41" s="191" t="e">
        <f>AJ41/(#REF!)</f>
        <v>#REF!</v>
      </c>
      <c r="AQ41" s="191" t="e">
        <f>AP41/(#REF!)</f>
        <v>#REF!</v>
      </c>
      <c r="AS41" s="191" t="e">
        <f>AR41/(#REF!)</f>
        <v>#REF!</v>
      </c>
      <c r="AU41" s="191" t="e">
        <f>AT41/(#REF!)</f>
        <v>#REF!</v>
      </c>
      <c r="AW41" s="191" t="e">
        <f>AV41/(#REF!)</f>
        <v>#REF!</v>
      </c>
    </row>
    <row r="42" spans="1:50" s="25" customFormat="1" ht="16.5" customHeight="1">
      <c r="A42" s="173"/>
      <c r="B42" s="174" t="s">
        <v>203</v>
      </c>
      <c r="C42" s="252"/>
      <c r="E42" s="253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AK42" s="191" t="e">
        <f>AJ42/(#REF!)</f>
        <v>#REF!</v>
      </c>
      <c r="AQ42" s="191" t="e">
        <f>AP42/(#REF!)</f>
        <v>#REF!</v>
      </c>
      <c r="AS42" s="191" t="e">
        <f>AR42/(#REF!)</f>
        <v>#REF!</v>
      </c>
      <c r="AU42" s="191" t="e">
        <f>AT42/(#REF!)</f>
        <v>#REF!</v>
      </c>
      <c r="AW42" s="191" t="e">
        <f>AV42/(#REF!)</f>
        <v>#REF!</v>
      </c>
    </row>
    <row r="43" spans="1:50" s="25" customFormat="1" ht="16.5" customHeight="1" thickBot="1">
      <c r="A43" s="173"/>
      <c r="B43" s="174" t="s">
        <v>205</v>
      </c>
      <c r="C43" s="252"/>
      <c r="E43" s="253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AK43" s="191" t="e">
        <f>AJ43/(#REF!)</f>
        <v>#REF!</v>
      </c>
      <c r="AQ43" s="191" t="e">
        <f>AP43/(#REF!)</f>
        <v>#REF!</v>
      </c>
      <c r="AS43" s="191" t="e">
        <f>AR43/(#REF!)</f>
        <v>#REF!</v>
      </c>
      <c r="AU43" s="191" t="e">
        <f>AT43/(#REF!)</f>
        <v>#REF!</v>
      </c>
      <c r="AW43" s="191" t="e">
        <f>AV43/(#REF!)</f>
        <v>#REF!</v>
      </c>
    </row>
    <row r="44" spans="1:50" s="25" customFormat="1" ht="16.5" customHeight="1" thickBot="1">
      <c r="A44" s="173"/>
      <c r="B44" s="255" t="s">
        <v>22</v>
      </c>
      <c r="C44" s="252"/>
      <c r="E44" s="253" t="e">
        <f t="array" aca="1" ref="E44" ca="1">Choosrows(H57:H80,1)</f>
        <v>#NAME?</v>
      </c>
      <c r="F44" s="254" t="s">
        <v>204</v>
      </c>
      <c r="G44" s="254" t="str">
        <f>"p.DossierName"&amp;G49</f>
        <v>p.DossierName2</v>
      </c>
      <c r="H44" s="254" t="str">
        <f>"p.ManFirstName"&amp;G49</f>
        <v>p.ManFirstName2</v>
      </c>
      <c r="I44" s="254" t="str">
        <f>"p.AHVNumber"&amp;G51</f>
        <v>p.AHVNumber5</v>
      </c>
      <c r="J44" s="256" t="str">
        <f>"p.BirthdayAdult"&amp;G49</f>
        <v>p.BirthdayAdult2</v>
      </c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AK44" s="191" t="e">
        <f>AJ44/(#REF!)</f>
        <v>#REF!</v>
      </c>
      <c r="AQ44" s="191" t="e">
        <f>AP44/(#REF!)</f>
        <v>#REF!</v>
      </c>
      <c r="AS44" s="191" t="e">
        <f>AR44/(#REF!)</f>
        <v>#REF!</v>
      </c>
      <c r="AU44" s="191" t="e">
        <f>AT44/(#REF!)</f>
        <v>#REF!</v>
      </c>
      <c r="AW44" s="191" t="e">
        <f>AV44/(#REF!)</f>
        <v>#REF!</v>
      </c>
    </row>
    <row r="45" spans="1:50" s="25" customFormat="1" ht="16.5" customHeight="1">
      <c r="A45" s="173"/>
      <c r="B45" s="257"/>
      <c r="C45" s="252"/>
      <c r="E45" s="253" t="s">
        <v>210</v>
      </c>
      <c r="F45" s="254" t="s">
        <v>206</v>
      </c>
      <c r="G45" s="254" t="str">
        <f>"p.FamilyName"&amp;G49</f>
        <v>p.FamilyName2</v>
      </c>
      <c r="H45" s="254" t="str">
        <f>"p.WomanFirstName"&amp;G49</f>
        <v>p.WomanFirstName2</v>
      </c>
      <c r="I45" s="254" t="str">
        <f>"p.AHVNumber"&amp;G51+1</f>
        <v>p.AHVNumber6</v>
      </c>
      <c r="J45" s="256" t="str">
        <f>"p.BirthdayAdult"&amp;G50</f>
        <v>p.BirthdayAdult3</v>
      </c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AK45" s="191" t="e">
        <f>AJ45/(#REF!)</f>
        <v>#REF!</v>
      </c>
      <c r="AQ45" s="191" t="e">
        <f>AP45/(#REF!)</f>
        <v>#REF!</v>
      </c>
      <c r="AS45" s="191" t="e">
        <f>AR45/(#REF!)</f>
        <v>#REF!</v>
      </c>
      <c r="AU45" s="191" t="e">
        <f>AT45/(#REF!)</f>
        <v>#REF!</v>
      </c>
      <c r="AW45" s="191" t="e">
        <f>AV45/(#REF!)</f>
        <v>#REF!</v>
      </c>
    </row>
    <row r="46" spans="1:50" s="25" customFormat="1" ht="16.5" customHeight="1">
      <c r="A46" s="173"/>
      <c r="B46" s="174"/>
      <c r="C46" s="252"/>
      <c r="D46" s="25">
        <f ca="1">MONTH(TODAY())</f>
        <v>11</v>
      </c>
      <c r="E46" s="253" t="str">
        <f t="array" aca="1" ref="E46" ca="1">_xlfn.CHOOSEROWS(G$57:G$80,D46)&amp;" "&amp;_xlfn.CHOOSEROWS(H$57:H$80,D46)</f>
        <v xml:space="preserve"> </v>
      </c>
      <c r="F46" s="254" t="s">
        <v>207</v>
      </c>
      <c r="G46" s="254" t="str">
        <f>G45</f>
        <v>p.FamilyName2</v>
      </c>
      <c r="H46" s="254" t="str">
        <f>"p.GirlFirstName"&amp;G49</f>
        <v>p.GirlFirstName2</v>
      </c>
      <c r="I46" s="254" t="str">
        <f>"p.AHVNumber"&amp;G51+2</f>
        <v>p.AHVNumber7</v>
      </c>
      <c r="J46" s="256" t="str">
        <f>"p.BirthdayKid"&amp;G49</f>
        <v>p.BirthdayKid2</v>
      </c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AK46" s="191" t="e">
        <f>AJ46/(#REF!)</f>
        <v>#REF!</v>
      </c>
      <c r="AQ46" s="191" t="e">
        <f>AP46/(#REF!)</f>
        <v>#REF!</v>
      </c>
      <c r="AS46" s="191" t="e">
        <f>AR46/(#REF!)</f>
        <v>#REF!</v>
      </c>
      <c r="AU46" s="191" t="e">
        <f>AT46/(#REF!)</f>
        <v>#REF!</v>
      </c>
      <c r="AW46" s="191" t="e">
        <f>AV46/(#REF!)</f>
        <v>#REF!</v>
      </c>
    </row>
    <row r="47" spans="1:50" s="25" customFormat="1" ht="16.5" customHeight="1">
      <c r="A47" s="173"/>
      <c r="B47" s="174"/>
      <c r="C47" s="252"/>
      <c r="D47" s="25">
        <f ca="1">D46+1</f>
        <v>12</v>
      </c>
      <c r="E47" s="253" t="str">
        <f t="array" aca="1" ref="E47" ca="1">_xlfn.CHOOSEROWS(G$57:G$80,D47)&amp;" "&amp;_xlfn.CHOOSEROWS(H$57:H$80,D47)</f>
        <v xml:space="preserve"> </v>
      </c>
      <c r="F47" s="254"/>
      <c r="G47" s="254"/>
      <c r="H47" s="254" t="str">
        <f>"p.ManFirstName"&amp;G50</f>
        <v>p.ManFirstName3</v>
      </c>
      <c r="I47" s="254" t="str">
        <f>"p.AHVNumber"&amp;G51+3</f>
        <v>p.AHVNumber8</v>
      </c>
      <c r="J47" s="256" t="str">
        <f>"p.BirthdayKid"&amp;G50</f>
        <v>p.BirthdayKid3</v>
      </c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AK47" s="191" t="e">
        <f>AJ47/(#REF!)</f>
        <v>#REF!</v>
      </c>
      <c r="AQ47" s="191" t="e">
        <f>AP47/(#REF!)</f>
        <v>#REF!</v>
      </c>
      <c r="AS47" s="191" t="e">
        <f>AR47/(#REF!)</f>
        <v>#REF!</v>
      </c>
      <c r="AU47" s="191" t="e">
        <f>AT47/(#REF!)</f>
        <v>#REF!</v>
      </c>
      <c r="AW47" s="191" t="e">
        <f>AV47/(#REF!)</f>
        <v>#REF!</v>
      </c>
    </row>
    <row r="48" spans="1:50" s="25" customFormat="1" ht="16.5" customHeight="1">
      <c r="A48" s="173"/>
      <c r="B48" s="174"/>
      <c r="C48" s="252"/>
      <c r="D48" s="25">
        <f t="shared" ref="D48:D52" ca="1" si="8">D47+1</f>
        <v>13</v>
      </c>
      <c r="E48" s="253" t="str">
        <f t="array" aca="1" ref="E48" ca="1">_xlfn.CHOOSEROWS(G$57:G$80,D48)&amp;" "&amp;_xlfn.CHOOSEROWS(H$57:H$80,D48)</f>
        <v xml:space="preserve"> </v>
      </c>
      <c r="F48" s="254"/>
      <c r="G48" s="254" t="str">
        <f>G44</f>
        <v>p.DossierName2</v>
      </c>
      <c r="H48" s="254" t="str">
        <f>H44</f>
        <v>p.ManFirstName2</v>
      </c>
      <c r="I48" s="254" t="str">
        <f>I44</f>
        <v>p.AHVNumber5</v>
      </c>
      <c r="J48" s="256" t="str">
        <f>J44</f>
        <v>p.BirthdayAdult2</v>
      </c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AK48" s="191" t="e">
        <f>AJ48/(#REF!)</f>
        <v>#REF!</v>
      </c>
      <c r="AQ48" s="191" t="e">
        <f>AP48/(#REF!)</f>
        <v>#REF!</v>
      </c>
      <c r="AS48" s="191" t="e">
        <f>AR48/(#REF!)</f>
        <v>#REF!</v>
      </c>
      <c r="AU48" s="191" t="e">
        <f>AT48/(#REF!)</f>
        <v>#REF!</v>
      </c>
      <c r="AW48" s="191" t="e">
        <f>AV48/(#REF!)</f>
        <v>#REF!</v>
      </c>
    </row>
    <row r="49" spans="1:49" s="25" customFormat="1" ht="16.5" customHeight="1">
      <c r="A49" s="173"/>
      <c r="B49" s="174"/>
      <c r="C49" s="252"/>
      <c r="D49" s="25">
        <f t="shared" ca="1" si="8"/>
        <v>14</v>
      </c>
      <c r="E49" s="253" t="str">
        <f t="array" aca="1" ref="E49" ca="1">_xlfn.CHOOSEROWS(G$57:G$80,D49)&amp;" "&amp;_xlfn.CHOOSEROWS(H$57:H$80,D49)</f>
        <v xml:space="preserve"> </v>
      </c>
      <c r="F49" s="254"/>
      <c r="G49" s="254">
        <v>2</v>
      </c>
      <c r="H49" s="254" t="str">
        <f t="shared" ref="H49:J51" si="9">H45</f>
        <v>p.WomanFirstName2</v>
      </c>
      <c r="I49" s="254" t="str">
        <f t="shared" si="9"/>
        <v>p.AHVNumber6</v>
      </c>
      <c r="J49" s="256" t="str">
        <f t="shared" si="9"/>
        <v>p.BirthdayAdult3</v>
      </c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AK49" s="191" t="e">
        <f>AJ49/(#REF!)</f>
        <v>#REF!</v>
      </c>
      <c r="AQ49" s="191" t="e">
        <f>AP49/(#REF!)</f>
        <v>#REF!</v>
      </c>
      <c r="AS49" s="191" t="e">
        <f>AR49/(#REF!)</f>
        <v>#REF!</v>
      </c>
      <c r="AU49" s="191" t="e">
        <f>AT49/(#REF!)</f>
        <v>#REF!</v>
      </c>
      <c r="AW49" s="191" t="e">
        <f>AV49/(#REF!)</f>
        <v>#REF!</v>
      </c>
    </row>
    <row r="50" spans="1:49" s="25" customFormat="1" ht="16.5" customHeight="1">
      <c r="A50" s="173"/>
      <c r="B50" s="174"/>
      <c r="C50" s="252"/>
      <c r="D50" s="25">
        <f t="shared" ca="1" si="8"/>
        <v>15</v>
      </c>
      <c r="E50" s="253" t="str">
        <f t="array" aca="1" ref="E50" ca="1">_xlfn.CHOOSEROWS(G$57:G$80,D50)&amp;" "&amp;_xlfn.CHOOSEROWS(H$57:H$80,D50)</f>
        <v xml:space="preserve"> </v>
      </c>
      <c r="F50" s="254"/>
      <c r="G50" s="254">
        <f>G49+1</f>
        <v>3</v>
      </c>
      <c r="H50" s="254" t="str">
        <f t="shared" si="9"/>
        <v>p.GirlFirstName2</v>
      </c>
      <c r="I50" s="254" t="str">
        <f t="shared" si="9"/>
        <v>p.AHVNumber7</v>
      </c>
      <c r="J50" s="256" t="str">
        <f t="shared" si="9"/>
        <v>p.BirthdayKid2</v>
      </c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AK50" s="191" t="e">
        <f>AJ50/(#REF!)</f>
        <v>#REF!</v>
      </c>
      <c r="AQ50" s="191" t="e">
        <f>AP50/(#REF!)</f>
        <v>#REF!</v>
      </c>
      <c r="AS50" s="191" t="e">
        <f>AR50/(#REF!)</f>
        <v>#REF!</v>
      </c>
      <c r="AU50" s="191" t="e">
        <f>AT50/(#REF!)</f>
        <v>#REF!</v>
      </c>
      <c r="AW50" s="191" t="e">
        <f>AV50/(#REF!)</f>
        <v>#REF!</v>
      </c>
    </row>
    <row r="51" spans="1:49" s="25" customFormat="1" ht="16.5" customHeight="1">
      <c r="A51" s="173"/>
      <c r="B51" s="174"/>
      <c r="C51" s="252"/>
      <c r="D51" s="25">
        <f t="shared" ca="1" si="8"/>
        <v>16</v>
      </c>
      <c r="E51" s="253" t="str">
        <f t="array" aca="1" ref="E51" ca="1">_xlfn.CHOOSEROWS(G$57:G$80,D51)&amp;" "&amp;_xlfn.CHOOSEROWS(H$57:H$80,D51)</f>
        <v xml:space="preserve"> </v>
      </c>
      <c r="F51" s="254"/>
      <c r="G51" s="254">
        <f>G49*4-4+1</f>
        <v>5</v>
      </c>
      <c r="H51" s="254" t="str">
        <f t="shared" si="9"/>
        <v>p.ManFirstName3</v>
      </c>
      <c r="I51" s="254" t="str">
        <f t="shared" si="9"/>
        <v>p.AHVNumber8</v>
      </c>
      <c r="J51" s="256" t="str">
        <f t="shared" si="9"/>
        <v>p.BirthdayKid3</v>
      </c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AK51" s="258"/>
      <c r="AQ51" s="258"/>
      <c r="AS51" s="258"/>
      <c r="AU51" s="258"/>
      <c r="AW51" s="258"/>
    </row>
    <row r="52" spans="1:49" s="25" customFormat="1" ht="16.5" customHeight="1">
      <c r="A52" s="173"/>
      <c r="B52" s="174"/>
      <c r="C52" s="252"/>
      <c r="D52" s="25">
        <f t="shared" ca="1" si="8"/>
        <v>17</v>
      </c>
      <c r="E52" s="253" t="str">
        <f t="array" aca="1" ref="E52" ca="1">_xlfn.CHOOSEROWS(G$57:G$80,D52)&amp;" "&amp;_xlfn.CHOOSEROWS(H$57:H$80,D52)</f>
        <v xml:space="preserve"> </v>
      </c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AK52" s="258"/>
      <c r="AQ52" s="258"/>
      <c r="AS52" s="258"/>
      <c r="AU52" s="258"/>
      <c r="AW52" s="258"/>
    </row>
    <row r="53" spans="1:49" s="25" customFormat="1" ht="16.5" customHeight="1">
      <c r="A53" s="173"/>
      <c r="B53" s="174"/>
      <c r="C53" s="252"/>
      <c r="E53" s="259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AK53" s="258"/>
      <c r="AQ53" s="258"/>
      <c r="AS53" s="258"/>
      <c r="AU53" s="258"/>
      <c r="AW53" s="258"/>
    </row>
    <row r="54" spans="1:49" s="25" customFormat="1" ht="16.5" customHeight="1">
      <c r="A54" s="173"/>
      <c r="B54" s="174"/>
      <c r="C54" s="252"/>
      <c r="D54" s="25">
        <v>10</v>
      </c>
      <c r="E54" s="253">
        <f t="array" ref="E54">_xlfn.CHOOSEROWS(H57:H80,D54)</f>
        <v>0</v>
      </c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AK54" s="258"/>
      <c r="AQ54" s="258"/>
      <c r="AS54" s="258"/>
      <c r="AU54" s="258"/>
      <c r="AW54" s="258"/>
    </row>
    <row r="55" spans="1:49" s="25" customFormat="1" ht="16.5" customHeight="1">
      <c r="A55" s="173"/>
      <c r="B55" s="174"/>
      <c r="C55" s="252"/>
      <c r="E55" s="253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AK55" s="258"/>
      <c r="AQ55" s="258"/>
      <c r="AS55" s="258"/>
      <c r="AU55" s="258"/>
      <c r="AW55" s="258"/>
    </row>
    <row r="56" spans="1:49" s="25" customFormat="1" ht="16.5" customHeight="1">
      <c r="A56" s="173"/>
      <c r="B56" s="174"/>
      <c r="C56" s="252"/>
      <c r="E56" s="253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AK56" s="258"/>
      <c r="AQ56" s="258"/>
      <c r="AS56" s="258"/>
      <c r="AU56" s="258"/>
      <c r="AW56" s="258"/>
    </row>
    <row r="57" spans="1:49" s="25" customFormat="1" ht="16.5" customHeight="1">
      <c r="A57" s="173"/>
      <c r="B57" s="174"/>
      <c r="C57" s="175"/>
      <c r="E57" s="253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AK57" s="258"/>
      <c r="AQ57" s="258"/>
      <c r="AS57" s="258"/>
      <c r="AU57" s="258"/>
      <c r="AW57" s="258"/>
    </row>
    <row r="58" spans="1:49" s="25" customFormat="1" ht="16.5" customHeight="1">
      <c r="A58" s="173"/>
      <c r="B58" s="174"/>
      <c r="C58" s="175"/>
      <c r="E58" s="253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AK58" s="258"/>
      <c r="AQ58" s="258"/>
      <c r="AS58" s="258"/>
      <c r="AU58" s="258"/>
      <c r="AW58" s="258"/>
    </row>
    <row r="59" spans="1:49" s="25" customFormat="1" ht="16.5" customHeight="1">
      <c r="A59" s="173"/>
      <c r="B59" s="174"/>
      <c r="C59" s="175"/>
      <c r="E59" s="253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AK59" s="260"/>
      <c r="AQ59" s="260"/>
      <c r="AS59" s="260"/>
      <c r="AU59" s="260"/>
      <c r="AW59" s="260"/>
    </row>
    <row r="60" spans="1:49" s="25" customFormat="1" ht="16.5" customHeight="1">
      <c r="A60" s="173"/>
      <c r="B60" s="174"/>
      <c r="C60" s="175"/>
      <c r="E60" s="253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AK60" s="260"/>
      <c r="AQ60" s="260"/>
      <c r="AS60" s="260"/>
      <c r="AU60" s="260"/>
      <c r="AW60" s="260"/>
    </row>
    <row r="61" spans="1:49" s="25" customFormat="1" ht="16.5" customHeight="1">
      <c r="A61" s="173"/>
      <c r="B61" s="174"/>
      <c r="C61" s="175"/>
      <c r="E61" s="253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AK61" s="260"/>
      <c r="AQ61" s="260"/>
      <c r="AS61" s="260"/>
      <c r="AU61" s="260"/>
      <c r="AW61" s="260"/>
    </row>
    <row r="62" spans="1:49" s="25" customFormat="1" ht="16.5" customHeight="1">
      <c r="A62" s="173"/>
      <c r="B62" s="174"/>
      <c r="C62" s="175"/>
      <c r="E62" s="253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AK62" s="260"/>
      <c r="AQ62" s="260"/>
      <c r="AS62" s="260"/>
      <c r="AU62" s="260"/>
      <c r="AW62" s="260"/>
    </row>
    <row r="63" spans="1:49" s="25" customFormat="1" ht="16.5" customHeight="1">
      <c r="A63" s="173"/>
      <c r="B63" s="174"/>
      <c r="C63" s="175"/>
      <c r="E63" s="253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AK63" s="260"/>
      <c r="AQ63" s="260"/>
      <c r="AS63" s="260"/>
      <c r="AU63" s="260"/>
      <c r="AW63" s="260"/>
    </row>
    <row r="64" spans="1:49" s="25" customFormat="1" ht="16.5" customHeight="1">
      <c r="A64" s="173"/>
      <c r="B64" s="174"/>
      <c r="C64" s="175"/>
      <c r="E64" s="253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AK64" s="260"/>
      <c r="AQ64" s="260"/>
      <c r="AS64" s="260"/>
      <c r="AU64" s="260"/>
      <c r="AW64" s="260"/>
    </row>
    <row r="65" spans="1:49" s="25" customFormat="1" ht="16.5" customHeight="1">
      <c r="A65" s="173"/>
      <c r="B65" s="174"/>
      <c r="C65" s="175"/>
      <c r="E65" s="253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AK65" s="260"/>
      <c r="AQ65" s="260"/>
      <c r="AS65" s="260"/>
      <c r="AU65" s="260"/>
      <c r="AW65" s="260"/>
    </row>
    <row r="66" spans="1:49" s="25" customFormat="1" ht="16.5" customHeight="1">
      <c r="A66" s="173"/>
      <c r="B66" s="174"/>
      <c r="C66" s="175"/>
      <c r="E66" s="253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AK66" s="260"/>
      <c r="AQ66" s="260"/>
      <c r="AS66" s="260"/>
      <c r="AU66" s="260"/>
      <c r="AW66" s="260"/>
    </row>
    <row r="67" spans="1:49" s="25" customFormat="1" ht="16.5" customHeight="1">
      <c r="A67" s="173"/>
      <c r="B67" s="174"/>
      <c r="C67" s="175"/>
      <c r="E67" s="253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AK67" s="260"/>
      <c r="AQ67" s="260"/>
      <c r="AS67" s="260"/>
      <c r="AU67" s="260"/>
      <c r="AW67" s="260"/>
    </row>
    <row r="68" spans="1:49" s="25" customFormat="1" ht="16.5" customHeight="1">
      <c r="A68" s="173"/>
      <c r="B68" s="174"/>
      <c r="C68" s="175"/>
      <c r="E68" s="253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AK68" s="260"/>
      <c r="AQ68" s="260"/>
      <c r="AS68" s="260"/>
      <c r="AU68" s="260"/>
      <c r="AW68" s="260"/>
    </row>
    <row r="69" spans="1:49" s="25" customFormat="1" ht="16.5" customHeight="1">
      <c r="A69" s="173"/>
      <c r="B69" s="174"/>
      <c r="C69" s="175"/>
      <c r="E69" s="253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AK69" s="260"/>
      <c r="AQ69" s="260"/>
      <c r="AS69" s="260"/>
      <c r="AU69" s="260"/>
      <c r="AW69" s="260"/>
    </row>
    <row r="70" spans="1:49" s="25" customFormat="1" ht="16.5" customHeight="1">
      <c r="A70" s="173"/>
      <c r="B70" s="174"/>
      <c r="C70" s="175"/>
      <c r="E70" s="253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AK70" s="260"/>
      <c r="AQ70" s="260"/>
      <c r="AS70" s="260"/>
      <c r="AU70" s="260"/>
      <c r="AW70" s="260"/>
    </row>
    <row r="71" spans="1:49" s="25" customFormat="1" ht="16.5" customHeight="1">
      <c r="A71" s="173"/>
      <c r="B71" s="174"/>
      <c r="C71" s="175"/>
      <c r="E71" s="253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AK71" s="260"/>
      <c r="AQ71" s="260"/>
      <c r="AS71" s="260"/>
      <c r="AU71" s="260"/>
      <c r="AW71" s="260"/>
    </row>
    <row r="72" spans="1:49" s="25" customFormat="1" ht="16.5" customHeight="1">
      <c r="A72" s="173"/>
      <c r="B72" s="174"/>
      <c r="C72" s="175"/>
      <c r="E72" s="253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AK72" s="260"/>
      <c r="AQ72" s="260"/>
      <c r="AS72" s="260"/>
      <c r="AU72" s="260"/>
      <c r="AW72" s="260"/>
    </row>
    <row r="73" spans="1:49" s="25" customFormat="1" ht="16.5" customHeight="1">
      <c r="A73" s="173"/>
      <c r="B73" s="174"/>
      <c r="C73" s="175"/>
      <c r="E73" s="253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AK73" s="260"/>
      <c r="AQ73" s="260"/>
      <c r="AS73" s="260"/>
      <c r="AU73" s="260"/>
      <c r="AW73" s="260"/>
    </row>
    <row r="74" spans="1:49" s="25" customFormat="1" ht="16.5" customHeight="1" thickBot="1">
      <c r="A74" s="173"/>
      <c r="B74" s="174"/>
      <c r="C74" s="175"/>
      <c r="E74" s="253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AK74" s="260"/>
      <c r="AQ74" s="260"/>
      <c r="AS74" s="260"/>
      <c r="AU74" s="260"/>
      <c r="AW74" s="260"/>
    </row>
    <row r="75" spans="1:49" s="25" customFormat="1" ht="16.5" customHeight="1">
      <c r="A75" s="173"/>
      <c r="B75" s="174"/>
      <c r="C75" s="175"/>
      <c r="D75" s="261" t="s">
        <v>215</v>
      </c>
      <c r="E75" s="262"/>
      <c r="F75" s="263"/>
      <c r="G75" s="263"/>
      <c r="H75" s="263"/>
      <c r="I75" s="264"/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AK75" s="260"/>
      <c r="AQ75" s="260"/>
      <c r="AS75" s="260"/>
      <c r="AU75" s="260"/>
      <c r="AW75" s="260"/>
    </row>
    <row r="76" spans="1:49" s="25" customFormat="1" ht="16.5" customHeight="1">
      <c r="A76" s="173"/>
      <c r="B76" s="174"/>
      <c r="C76" s="175"/>
      <c r="D76" s="265"/>
      <c r="E76" s="266">
        <f ca="1">MONTH(TODAY())</f>
        <v>11</v>
      </c>
      <c r="F76" s="253" t="str">
        <f t="array" aca="1" ref="F76" ca="1">_xlfn.CHOOSEROWS(H$88:H$111,E76)&amp;" "&amp;_xlfn.CHOOSEROWS(I$88:I$111,E76)</f>
        <v>November 2025</v>
      </c>
      <c r="G76" s="254"/>
      <c r="H76" s="266"/>
      <c r="I76" s="267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AK76" s="260"/>
      <c r="AQ76" s="260"/>
      <c r="AS76" s="260"/>
      <c r="AU76" s="260"/>
      <c r="AW76" s="260"/>
    </row>
    <row r="77" spans="1:49" s="25" customFormat="1" ht="16.5" customHeight="1">
      <c r="A77" s="173"/>
      <c r="B77" s="174"/>
      <c r="C77" s="175"/>
      <c r="D77" s="265"/>
      <c r="E77" s="266">
        <f ca="1">E76+1</f>
        <v>12</v>
      </c>
      <c r="F77" s="253" t="str">
        <f t="array" aca="1" ref="F77" ca="1">_xlfn.CHOOSEROWS(H$88:H$111,E77)&amp;" "&amp;_xlfn.CHOOSEROWS(I$88:I$111,E77)</f>
        <v>Dezember 2025</v>
      </c>
      <c r="G77" s="254"/>
      <c r="H77" s="266"/>
      <c r="I77" s="267"/>
      <c r="J77" s="25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AK77" s="260"/>
      <c r="AQ77" s="260"/>
      <c r="AS77" s="260"/>
      <c r="AU77" s="260"/>
      <c r="AW77" s="260"/>
    </row>
    <row r="78" spans="1:49" s="25" customFormat="1" ht="16.5" customHeight="1">
      <c r="A78" s="173"/>
      <c r="B78" s="174"/>
      <c r="C78" s="175"/>
      <c r="D78" s="265"/>
      <c r="E78" s="266">
        <f t="shared" ref="E78:E82" ca="1" si="10">E77+1</f>
        <v>13</v>
      </c>
      <c r="F78" s="253" t="str">
        <f t="array" aca="1" ref="F78" ca="1">_xlfn.CHOOSEROWS(H$88:H$111,E78)&amp;" "&amp;_xlfn.CHOOSEROWS(I$88:I$111,E78)</f>
        <v>Januar 2026</v>
      </c>
      <c r="G78" s="254"/>
      <c r="H78" s="266"/>
      <c r="I78" s="267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AK78" s="260"/>
      <c r="AQ78" s="260"/>
      <c r="AS78" s="260"/>
      <c r="AU78" s="260"/>
      <c r="AW78" s="260"/>
    </row>
    <row r="79" spans="1:49" s="25" customFormat="1" ht="16.5" customHeight="1">
      <c r="A79" s="173"/>
      <c r="B79" s="174"/>
      <c r="C79" s="175"/>
      <c r="D79" s="265"/>
      <c r="E79" s="266">
        <f t="shared" ca="1" si="10"/>
        <v>14</v>
      </c>
      <c r="F79" s="253" t="str">
        <f t="array" aca="1" ref="F79" ca="1">_xlfn.CHOOSEROWS(H$88:H$111,E79)&amp;" "&amp;_xlfn.CHOOSEROWS(I$88:I$111,E79)</f>
        <v>Februar 2026</v>
      </c>
      <c r="G79" s="254"/>
      <c r="H79" s="266"/>
      <c r="I79" s="267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AK79" s="260"/>
      <c r="AQ79" s="260"/>
      <c r="AS79" s="260"/>
      <c r="AU79" s="260"/>
      <c r="AW79" s="260"/>
    </row>
    <row r="80" spans="1:49" s="25" customFormat="1" ht="16.5" customHeight="1">
      <c r="A80" s="173"/>
      <c r="B80" s="174"/>
      <c r="C80" s="175"/>
      <c r="D80" s="265"/>
      <c r="E80" s="266">
        <f t="shared" ca="1" si="10"/>
        <v>15</v>
      </c>
      <c r="F80" s="253" t="str">
        <f t="array" aca="1" ref="F80" ca="1">_xlfn.CHOOSEROWS(H$88:H$111,E80)&amp;" "&amp;_xlfn.CHOOSEROWS(I$88:I$111,E80)</f>
        <v>März 2026</v>
      </c>
      <c r="G80" s="254"/>
      <c r="H80" s="266"/>
      <c r="I80" s="267"/>
      <c r="J80" s="25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AK80" s="260"/>
      <c r="AQ80" s="260"/>
      <c r="AS80" s="260"/>
      <c r="AU80" s="260"/>
      <c r="AW80" s="260"/>
    </row>
    <row r="81" spans="1:49" s="25" customFormat="1" ht="16.5" customHeight="1">
      <c r="A81" s="173"/>
      <c r="B81" s="174"/>
      <c r="C81" s="175"/>
      <c r="D81" s="265"/>
      <c r="E81" s="266">
        <f t="shared" ca="1" si="10"/>
        <v>16</v>
      </c>
      <c r="F81" s="253" t="str">
        <f t="array" aca="1" ref="F81" ca="1">_xlfn.CHOOSEROWS(H$88:H$111,E81)&amp;" "&amp;_xlfn.CHOOSEROWS(I$88:I$111,E81)</f>
        <v>April 2026</v>
      </c>
      <c r="G81" s="254"/>
      <c r="H81" s="266"/>
      <c r="I81" s="267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AK81" s="260"/>
      <c r="AQ81" s="260"/>
      <c r="AS81" s="260"/>
      <c r="AU81" s="260"/>
      <c r="AW81" s="260"/>
    </row>
    <row r="82" spans="1:49" s="25" customFormat="1" ht="16.5" customHeight="1">
      <c r="A82" s="173"/>
      <c r="B82" s="174"/>
      <c r="C82" s="175"/>
      <c r="D82" s="265"/>
      <c r="E82" s="266">
        <f t="shared" ca="1" si="10"/>
        <v>17</v>
      </c>
      <c r="F82" s="253" t="str">
        <f t="array" aca="1" ref="F82" ca="1">_xlfn.CHOOSEROWS(H$88:H$111,E82)&amp;" "&amp;_xlfn.CHOOSEROWS(I$88:I$111,E82)</f>
        <v>Mai 2026</v>
      </c>
      <c r="G82" s="254"/>
      <c r="H82" s="266"/>
      <c r="I82" s="267"/>
      <c r="J82" s="25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AK82" s="260"/>
      <c r="AQ82" s="260"/>
      <c r="AS82" s="260"/>
      <c r="AU82" s="260"/>
      <c r="AW82" s="260"/>
    </row>
    <row r="83" spans="1:49" s="25" customFormat="1" ht="16.5" customHeight="1">
      <c r="A83" s="173"/>
      <c r="B83" s="174"/>
      <c r="C83" s="175"/>
      <c r="D83" s="265"/>
      <c r="E83" s="266"/>
      <c r="F83" s="253"/>
      <c r="G83" s="254"/>
      <c r="H83" s="266"/>
      <c r="I83" s="267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AK83" s="260"/>
      <c r="AQ83" s="260"/>
      <c r="AS83" s="260"/>
      <c r="AU83" s="260"/>
      <c r="AW83" s="260"/>
    </row>
    <row r="84" spans="1:49" s="25" customFormat="1" ht="16.5" customHeight="1">
      <c r="A84" s="173"/>
      <c r="B84" s="174"/>
      <c r="C84" s="175"/>
      <c r="D84" s="265"/>
      <c r="E84" s="266">
        <v>13</v>
      </c>
      <c r="F84" s="253" t="str">
        <f t="array" ref="F84">_xlfn.CHOOSEROWS(H$88:H$111,E84)&amp;" "&amp;_xlfn.CHOOSEROWS(I$88:I$111,E84)</f>
        <v>Januar 2026</v>
      </c>
      <c r="G84" s="254"/>
      <c r="H84" s="266"/>
      <c r="I84" s="267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AK84" s="260"/>
      <c r="AQ84" s="260"/>
      <c r="AS84" s="260"/>
      <c r="AU84" s="260"/>
      <c r="AW84" s="260"/>
    </row>
    <row r="85" spans="1:49" s="25" customFormat="1" ht="16.5" customHeight="1">
      <c r="A85" s="173"/>
      <c r="B85" s="174"/>
      <c r="C85" s="175"/>
      <c r="D85" s="265"/>
      <c r="E85" s="266"/>
      <c r="F85" s="253"/>
      <c r="G85" s="254"/>
      <c r="H85" s="266"/>
      <c r="I85" s="267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AK85" s="260"/>
      <c r="AQ85" s="260"/>
      <c r="AS85" s="260"/>
      <c r="AU85" s="260"/>
      <c r="AW85" s="260"/>
    </row>
    <row r="86" spans="1:49" s="25" customFormat="1" ht="16.5" customHeight="1">
      <c r="A86" s="173"/>
      <c r="B86" s="174"/>
      <c r="C86" s="175"/>
      <c r="D86" s="265"/>
      <c r="E86" s="266"/>
      <c r="F86" s="253"/>
      <c r="G86" s="254"/>
      <c r="H86" s="266"/>
      <c r="I86" s="267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AK86" s="260"/>
      <c r="AQ86" s="260"/>
      <c r="AS86" s="260"/>
      <c r="AU86" s="260"/>
      <c r="AW86" s="260"/>
    </row>
    <row r="87" spans="1:49" s="25" customFormat="1" ht="16.5" customHeight="1">
      <c r="A87" s="173"/>
      <c r="B87" s="174"/>
      <c r="C87" s="175"/>
      <c r="D87" s="265"/>
      <c r="E87" s="266"/>
      <c r="F87" s="253" t="str">
        <f t="array" ref="F87">_xlfn.CHOOSEROWS(H87:H93,3)</f>
        <v>Februar</v>
      </c>
      <c r="G87" s="254"/>
      <c r="H87" s="266"/>
      <c r="I87" s="267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AK87" s="260"/>
      <c r="AQ87" s="260"/>
      <c r="AS87" s="260"/>
      <c r="AU87" s="260"/>
      <c r="AW87" s="260"/>
    </row>
    <row r="88" spans="1:49" s="25" customFormat="1" ht="16.5" customHeight="1">
      <c r="A88" s="173"/>
      <c r="B88" s="174"/>
      <c r="C88" s="175"/>
      <c r="D88" s="265"/>
      <c r="E88" s="266"/>
      <c r="F88" s="253"/>
      <c r="G88" s="254">
        <v>1</v>
      </c>
      <c r="H88" s="266" t="s">
        <v>219</v>
      </c>
      <c r="I88" s="267">
        <v>2025</v>
      </c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AK88" s="260"/>
      <c r="AQ88" s="260"/>
      <c r="AS88" s="260"/>
      <c r="AU88" s="260"/>
      <c r="AW88" s="260"/>
    </row>
    <row r="89" spans="1:49" s="25" customFormat="1" ht="16.5" customHeight="1">
      <c r="A89" s="173"/>
      <c r="B89" s="174"/>
      <c r="C89" s="175"/>
      <c r="D89" s="265"/>
      <c r="E89" s="266"/>
      <c r="F89" s="253"/>
      <c r="G89" s="254">
        <v>2</v>
      </c>
      <c r="H89" s="266" t="s">
        <v>220</v>
      </c>
      <c r="I89" s="267">
        <v>2025</v>
      </c>
      <c r="J89" s="254"/>
      <c r="K89" s="254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AK89" s="260"/>
      <c r="AQ89" s="260"/>
      <c r="AS89" s="260"/>
      <c r="AU89" s="260"/>
      <c r="AW89" s="260"/>
    </row>
    <row r="90" spans="1:49" s="25" customFormat="1" ht="16.5" customHeight="1">
      <c r="A90" s="173"/>
      <c r="B90" s="174"/>
      <c r="C90" s="175"/>
      <c r="D90" s="265"/>
      <c r="E90" s="266"/>
      <c r="F90" s="253"/>
      <c r="G90" s="254">
        <v>3</v>
      </c>
      <c r="H90" s="266" t="s">
        <v>221</v>
      </c>
      <c r="I90" s="267">
        <v>2025</v>
      </c>
      <c r="J90" s="25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AK90" s="260"/>
      <c r="AQ90" s="260"/>
      <c r="AS90" s="260"/>
      <c r="AU90" s="260"/>
      <c r="AW90" s="260"/>
    </row>
    <row r="91" spans="1:49" s="25" customFormat="1" ht="16.5" customHeight="1">
      <c r="A91" s="173"/>
      <c r="B91" s="174"/>
      <c r="C91" s="175"/>
      <c r="D91" s="265"/>
      <c r="E91" s="266"/>
      <c r="F91" s="253"/>
      <c r="G91" s="254">
        <v>4</v>
      </c>
      <c r="H91" s="266" t="s">
        <v>222</v>
      </c>
      <c r="I91" s="267">
        <v>2025</v>
      </c>
      <c r="J91" s="254"/>
      <c r="K91" s="254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AK91" s="260"/>
      <c r="AQ91" s="260"/>
      <c r="AS91" s="260"/>
      <c r="AU91" s="260"/>
      <c r="AW91" s="260"/>
    </row>
    <row r="92" spans="1:49" s="25" customFormat="1" ht="16.5" customHeight="1">
      <c r="A92" s="173"/>
      <c r="B92" s="174"/>
      <c r="C92" s="175"/>
      <c r="D92" s="265"/>
      <c r="E92" s="266"/>
      <c r="F92" s="253"/>
      <c r="G92" s="254">
        <v>5</v>
      </c>
      <c r="H92" s="266" t="s">
        <v>223</v>
      </c>
      <c r="I92" s="267">
        <v>2025</v>
      </c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AK92" s="260"/>
      <c r="AQ92" s="260"/>
      <c r="AS92" s="260"/>
      <c r="AU92" s="260"/>
      <c r="AW92" s="260"/>
    </row>
    <row r="93" spans="1:49" s="25" customFormat="1" ht="16.5" customHeight="1">
      <c r="A93" s="173"/>
      <c r="B93" s="174"/>
      <c r="C93" s="175"/>
      <c r="D93" s="265"/>
      <c r="E93" s="266"/>
      <c r="F93" s="253"/>
      <c r="G93" s="254">
        <v>6</v>
      </c>
      <c r="H93" s="266" t="s">
        <v>224</v>
      </c>
      <c r="I93" s="267">
        <v>2025</v>
      </c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AK93" s="260"/>
      <c r="AQ93" s="260"/>
      <c r="AS93" s="260"/>
      <c r="AU93" s="260"/>
      <c r="AW93" s="260"/>
    </row>
    <row r="94" spans="1:49" s="25" customFormat="1" ht="16.5" customHeight="1">
      <c r="A94" s="173"/>
      <c r="B94" s="174"/>
      <c r="C94" s="175"/>
      <c r="D94" s="265"/>
      <c r="E94" s="266"/>
      <c r="F94" s="253"/>
      <c r="G94" s="254">
        <v>7</v>
      </c>
      <c r="H94" s="266" t="s">
        <v>225</v>
      </c>
      <c r="I94" s="267">
        <v>2025</v>
      </c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AK94" s="260"/>
      <c r="AQ94" s="260"/>
      <c r="AS94" s="260"/>
      <c r="AU94" s="260"/>
      <c r="AW94" s="260"/>
    </row>
    <row r="95" spans="1:49" s="25" customFormat="1" ht="16.5" customHeight="1">
      <c r="A95" s="173"/>
      <c r="B95" s="174"/>
      <c r="C95" s="175"/>
      <c r="D95" s="265"/>
      <c r="E95" s="266"/>
      <c r="F95" s="253"/>
      <c r="G95" s="254">
        <v>8</v>
      </c>
      <c r="H95" s="266" t="s">
        <v>226</v>
      </c>
      <c r="I95" s="267">
        <v>2025</v>
      </c>
      <c r="J95" s="254"/>
      <c r="K95" s="254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AK95" s="260"/>
      <c r="AQ95" s="260"/>
      <c r="AS95" s="260"/>
      <c r="AU95" s="260"/>
      <c r="AW95" s="260"/>
    </row>
    <row r="96" spans="1:49" s="25" customFormat="1" ht="16.5" customHeight="1">
      <c r="A96" s="173"/>
      <c r="B96" s="174"/>
      <c r="C96" s="175"/>
      <c r="D96" s="265"/>
      <c r="E96" s="266"/>
      <c r="F96" s="253"/>
      <c r="G96" s="254">
        <v>9</v>
      </c>
      <c r="H96" s="266" t="s">
        <v>227</v>
      </c>
      <c r="I96" s="267">
        <v>2025</v>
      </c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AK96" s="260"/>
      <c r="AQ96" s="260"/>
      <c r="AS96" s="260"/>
      <c r="AU96" s="260"/>
      <c r="AW96" s="260"/>
    </row>
    <row r="97" spans="1:49" s="25" customFormat="1" ht="16.5" customHeight="1">
      <c r="A97" s="173"/>
      <c r="B97" s="174"/>
      <c r="C97" s="175"/>
      <c r="D97" s="265"/>
      <c r="E97" s="266"/>
      <c r="F97" s="253"/>
      <c r="G97" s="254">
        <v>10</v>
      </c>
      <c r="H97" s="266" t="s">
        <v>228</v>
      </c>
      <c r="I97" s="267">
        <v>2025</v>
      </c>
      <c r="J97" s="25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AK97" s="260"/>
      <c r="AQ97" s="260"/>
      <c r="AS97" s="260"/>
      <c r="AU97" s="260"/>
      <c r="AW97" s="260"/>
    </row>
    <row r="98" spans="1:49" s="25" customFormat="1" ht="16.5" customHeight="1">
      <c r="A98" s="173"/>
      <c r="B98" s="174"/>
      <c r="C98" s="175"/>
      <c r="D98" s="265"/>
      <c r="E98" s="266"/>
      <c r="F98" s="253"/>
      <c r="G98" s="254">
        <v>11</v>
      </c>
      <c r="H98" s="266" t="s">
        <v>229</v>
      </c>
      <c r="I98" s="267">
        <v>2025</v>
      </c>
      <c r="J98" s="25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AK98" s="260"/>
      <c r="AQ98" s="260"/>
      <c r="AS98" s="260"/>
      <c r="AU98" s="260"/>
      <c r="AW98" s="260"/>
    </row>
    <row r="99" spans="1:49" s="25" customFormat="1" ht="16.5" customHeight="1">
      <c r="A99" s="173"/>
      <c r="B99" s="174"/>
      <c r="C99" s="175"/>
      <c r="D99" s="265"/>
      <c r="E99" s="266"/>
      <c r="F99" s="253"/>
      <c r="G99" s="254">
        <v>12</v>
      </c>
      <c r="H99" s="266" t="s">
        <v>230</v>
      </c>
      <c r="I99" s="267">
        <v>2025</v>
      </c>
      <c r="J99" s="25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AK99" s="260"/>
      <c r="AQ99" s="260"/>
      <c r="AS99" s="260"/>
      <c r="AU99" s="260"/>
      <c r="AW99" s="260"/>
    </row>
    <row r="100" spans="1:49" s="25" customFormat="1" ht="16.5" customHeight="1">
      <c r="A100" s="173"/>
      <c r="B100" s="174"/>
      <c r="C100" s="175"/>
      <c r="D100" s="265"/>
      <c r="E100" s="266"/>
      <c r="F100" s="253"/>
      <c r="G100" s="254">
        <v>13</v>
      </c>
      <c r="H100" s="266" t="s">
        <v>219</v>
      </c>
      <c r="I100" s="267">
        <v>2026</v>
      </c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AK100" s="260"/>
      <c r="AQ100" s="260"/>
      <c r="AS100" s="260"/>
      <c r="AU100" s="260"/>
      <c r="AW100" s="260"/>
    </row>
    <row r="101" spans="1:49" s="25" customFormat="1" ht="16.5" customHeight="1">
      <c r="A101" s="173"/>
      <c r="B101" s="174"/>
      <c r="C101" s="175"/>
      <c r="D101" s="265"/>
      <c r="E101" s="266"/>
      <c r="F101" s="253"/>
      <c r="G101" s="254">
        <v>14</v>
      </c>
      <c r="H101" s="266" t="s">
        <v>220</v>
      </c>
      <c r="I101" s="267">
        <v>2026</v>
      </c>
      <c r="J101" s="25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AK101" s="260"/>
      <c r="AQ101" s="260"/>
      <c r="AS101" s="260"/>
      <c r="AU101" s="260"/>
      <c r="AW101" s="260"/>
    </row>
    <row r="102" spans="1:49" s="25" customFormat="1" ht="16.5" customHeight="1">
      <c r="A102" s="173"/>
      <c r="B102" s="174"/>
      <c r="C102" s="175"/>
      <c r="D102" s="265"/>
      <c r="E102" s="266"/>
      <c r="F102" s="253"/>
      <c r="G102" s="254">
        <v>15</v>
      </c>
      <c r="H102" s="266" t="s">
        <v>221</v>
      </c>
      <c r="I102" s="267">
        <v>2026</v>
      </c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AK102" s="260"/>
      <c r="AQ102" s="260"/>
      <c r="AS102" s="260"/>
      <c r="AU102" s="260"/>
      <c r="AW102" s="260"/>
    </row>
    <row r="103" spans="1:49" s="25" customFormat="1" ht="16.5" customHeight="1">
      <c r="A103" s="173"/>
      <c r="B103" s="174"/>
      <c r="C103" s="175"/>
      <c r="D103" s="265"/>
      <c r="E103" s="266"/>
      <c r="F103" s="253"/>
      <c r="G103" s="254">
        <v>16</v>
      </c>
      <c r="H103" s="266" t="s">
        <v>222</v>
      </c>
      <c r="I103" s="267">
        <v>2026</v>
      </c>
      <c r="J103" s="254"/>
      <c r="K103" s="254"/>
      <c r="L103" s="25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AK103" s="260"/>
      <c r="AQ103" s="260"/>
      <c r="AS103" s="260"/>
      <c r="AU103" s="260"/>
      <c r="AW103" s="260"/>
    </row>
    <row r="104" spans="1:49" s="25" customFormat="1" ht="16.5" customHeight="1">
      <c r="A104" s="173"/>
      <c r="B104" s="174"/>
      <c r="C104" s="175"/>
      <c r="D104" s="265"/>
      <c r="E104" s="266"/>
      <c r="F104" s="253"/>
      <c r="G104" s="254">
        <v>17</v>
      </c>
      <c r="H104" s="266" t="s">
        <v>223</v>
      </c>
      <c r="I104" s="267">
        <v>2026</v>
      </c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AK104" s="260"/>
      <c r="AQ104" s="260"/>
      <c r="AS104" s="260"/>
      <c r="AU104" s="260"/>
      <c r="AW104" s="260"/>
    </row>
    <row r="105" spans="1:49" s="25" customFormat="1" ht="16.5" customHeight="1">
      <c r="A105" s="173"/>
      <c r="B105" s="174"/>
      <c r="C105" s="175"/>
      <c r="D105" s="265"/>
      <c r="E105" s="266"/>
      <c r="F105" s="253"/>
      <c r="G105" s="254">
        <v>18</v>
      </c>
      <c r="H105" s="266" t="s">
        <v>224</v>
      </c>
      <c r="I105" s="267">
        <v>2026</v>
      </c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AK105" s="260"/>
      <c r="AQ105" s="260"/>
      <c r="AS105" s="260"/>
      <c r="AU105" s="260"/>
      <c r="AW105" s="260"/>
    </row>
    <row r="106" spans="1:49" s="25" customFormat="1" ht="16.5" customHeight="1">
      <c r="A106" s="173"/>
      <c r="B106" s="174"/>
      <c r="C106" s="175"/>
      <c r="D106" s="265"/>
      <c r="E106" s="266"/>
      <c r="F106" s="253"/>
      <c r="G106" s="254">
        <v>19</v>
      </c>
      <c r="H106" s="266" t="s">
        <v>225</v>
      </c>
      <c r="I106" s="267">
        <v>2026</v>
      </c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AK106" s="260"/>
      <c r="AQ106" s="260"/>
      <c r="AS106" s="260"/>
      <c r="AU106" s="260"/>
      <c r="AW106" s="260"/>
    </row>
    <row r="107" spans="1:49" s="25" customFormat="1" ht="16.5" customHeight="1">
      <c r="A107" s="173"/>
      <c r="B107" s="174"/>
      <c r="C107" s="175"/>
      <c r="D107" s="265"/>
      <c r="E107" s="266"/>
      <c r="F107" s="253"/>
      <c r="G107" s="254">
        <v>20</v>
      </c>
      <c r="H107" s="266" t="s">
        <v>226</v>
      </c>
      <c r="I107" s="267">
        <v>2026</v>
      </c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AK107" s="260"/>
      <c r="AQ107" s="260"/>
      <c r="AS107" s="260"/>
      <c r="AU107" s="260"/>
      <c r="AW107" s="260"/>
    </row>
    <row r="108" spans="1:49" s="25" customFormat="1" ht="16.5" customHeight="1">
      <c r="A108" s="173"/>
      <c r="B108" s="174"/>
      <c r="C108" s="175"/>
      <c r="D108" s="265"/>
      <c r="E108" s="266"/>
      <c r="F108" s="253"/>
      <c r="G108" s="254">
        <v>21</v>
      </c>
      <c r="H108" s="266" t="s">
        <v>227</v>
      </c>
      <c r="I108" s="267">
        <v>2026</v>
      </c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AK108" s="260"/>
      <c r="AQ108" s="260"/>
      <c r="AS108" s="260"/>
      <c r="AU108" s="260"/>
      <c r="AW108" s="260"/>
    </row>
    <row r="109" spans="1:49" s="25" customFormat="1" ht="16.5" customHeight="1">
      <c r="A109" s="173"/>
      <c r="B109" s="174"/>
      <c r="C109" s="175"/>
      <c r="D109" s="265"/>
      <c r="E109" s="266"/>
      <c r="F109" s="253"/>
      <c r="G109" s="254">
        <v>22</v>
      </c>
      <c r="H109" s="266" t="s">
        <v>228</v>
      </c>
      <c r="I109" s="267">
        <v>2026</v>
      </c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AK109" s="260"/>
      <c r="AQ109" s="260"/>
      <c r="AS109" s="260"/>
      <c r="AU109" s="260"/>
      <c r="AW109" s="260"/>
    </row>
    <row r="110" spans="1:49" s="25" customFormat="1" ht="16.5" customHeight="1">
      <c r="A110" s="173"/>
      <c r="B110" s="174"/>
      <c r="C110" s="175"/>
      <c r="D110" s="265"/>
      <c r="E110" s="266"/>
      <c r="F110" s="253"/>
      <c r="G110" s="254">
        <v>23</v>
      </c>
      <c r="H110" s="266" t="s">
        <v>229</v>
      </c>
      <c r="I110" s="267">
        <v>2026</v>
      </c>
      <c r="J110" s="254"/>
      <c r="K110" s="254"/>
      <c r="L110" s="254"/>
      <c r="M110" s="254"/>
      <c r="N110" s="254"/>
      <c r="O110" s="254"/>
      <c r="P110" s="254"/>
      <c r="Q110" s="254"/>
      <c r="R110" s="254"/>
      <c r="S110" s="254"/>
      <c r="T110" s="254"/>
      <c r="U110" s="254"/>
      <c r="V110" s="254"/>
      <c r="AK110" s="260"/>
      <c r="AQ110" s="260"/>
      <c r="AS110" s="260"/>
      <c r="AU110" s="260"/>
      <c r="AW110" s="260"/>
    </row>
    <row r="111" spans="1:49" s="25" customFormat="1" ht="16.5" customHeight="1" thickBot="1">
      <c r="A111" s="173"/>
      <c r="B111" s="174"/>
      <c r="C111" s="175"/>
      <c r="D111" s="268"/>
      <c r="E111" s="269"/>
      <c r="F111" s="270"/>
      <c r="G111" s="269">
        <v>24</v>
      </c>
      <c r="H111" s="269" t="s">
        <v>230</v>
      </c>
      <c r="I111" s="267">
        <v>2026</v>
      </c>
      <c r="J111" s="25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AK111" s="260"/>
      <c r="AQ111" s="260"/>
      <c r="AS111" s="260"/>
      <c r="AU111" s="260"/>
      <c r="AW111" s="260"/>
    </row>
    <row r="112" spans="1:49" s="25" customFormat="1" ht="16.5" customHeight="1">
      <c r="A112" s="173"/>
      <c r="B112" s="174"/>
      <c r="C112" s="175"/>
      <c r="E112" s="253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4"/>
      <c r="V112" s="254"/>
      <c r="AK112" s="260"/>
      <c r="AQ112" s="260"/>
      <c r="AS112" s="260"/>
      <c r="AU112" s="260"/>
      <c r="AW112" s="260"/>
    </row>
    <row r="113" spans="1:49" s="25" customFormat="1" ht="16.5" customHeight="1">
      <c r="A113" s="173"/>
      <c r="B113" s="174"/>
      <c r="C113" s="175"/>
      <c r="E113" s="253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AK113" s="260"/>
      <c r="AQ113" s="260"/>
      <c r="AS113" s="260"/>
      <c r="AU113" s="260"/>
      <c r="AW113" s="260"/>
    </row>
    <row r="114" spans="1:49" s="25" customFormat="1" ht="16.5" customHeight="1">
      <c r="A114" s="173"/>
      <c r="B114" s="174"/>
      <c r="C114" s="175"/>
      <c r="E114" s="253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AK114" s="260"/>
      <c r="AQ114" s="260"/>
      <c r="AS114" s="260"/>
      <c r="AU114" s="260"/>
      <c r="AW114" s="260"/>
    </row>
    <row r="115" spans="1:49" s="25" customFormat="1" ht="16.5" customHeight="1">
      <c r="A115" s="173"/>
      <c r="B115" s="174"/>
      <c r="C115" s="175"/>
      <c r="E115" s="253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AK115" s="260"/>
      <c r="AQ115" s="260"/>
      <c r="AS115" s="260"/>
      <c r="AU115" s="260"/>
      <c r="AW115" s="260"/>
    </row>
    <row r="116" spans="1:49" s="25" customFormat="1" ht="16.5" customHeight="1">
      <c r="A116" s="173"/>
      <c r="B116" s="174"/>
      <c r="C116" s="175"/>
      <c r="E116" s="253"/>
      <c r="F116" s="254"/>
      <c r="G116" s="254"/>
      <c r="H116" s="254"/>
      <c r="I116" s="254"/>
      <c r="J116" s="254"/>
      <c r="K116" s="254"/>
      <c r="L116" s="254"/>
      <c r="M116" s="254"/>
      <c r="N116" s="254"/>
      <c r="O116" s="254"/>
      <c r="P116" s="254"/>
      <c r="Q116" s="254"/>
      <c r="R116" s="254"/>
      <c r="S116" s="254"/>
      <c r="T116" s="254"/>
      <c r="U116" s="254"/>
      <c r="V116" s="254"/>
      <c r="AK116" s="260"/>
      <c r="AQ116" s="260"/>
      <c r="AS116" s="260"/>
      <c r="AU116" s="260"/>
      <c r="AW116" s="260"/>
    </row>
    <row r="117" spans="1:49" s="25" customFormat="1" ht="16.5" customHeight="1">
      <c r="A117" s="173"/>
      <c r="B117" s="174"/>
      <c r="C117" s="175"/>
      <c r="E117" s="253"/>
      <c r="F117" s="254"/>
      <c r="G117" s="254"/>
      <c r="H117" s="254"/>
      <c r="I117" s="254"/>
      <c r="J117" s="25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AK117" s="260"/>
      <c r="AQ117" s="260"/>
      <c r="AS117" s="260"/>
      <c r="AU117" s="260"/>
      <c r="AW117" s="260"/>
    </row>
    <row r="118" spans="1:49" s="25" customFormat="1" ht="16.5" customHeight="1">
      <c r="A118" s="173"/>
      <c r="B118" s="174"/>
      <c r="C118" s="175"/>
      <c r="E118" s="253"/>
      <c r="F118" s="254"/>
      <c r="G118" s="254"/>
      <c r="H118" s="254"/>
      <c r="I118" s="254"/>
      <c r="J118" s="254"/>
      <c r="K118" s="254"/>
      <c r="L118" s="254"/>
      <c r="M118" s="254"/>
      <c r="N118" s="254"/>
      <c r="O118" s="254"/>
      <c r="P118" s="254"/>
      <c r="Q118" s="254"/>
      <c r="R118" s="254"/>
      <c r="S118" s="254"/>
      <c r="T118" s="254"/>
      <c r="U118" s="254"/>
      <c r="V118" s="254"/>
      <c r="AK118" s="260"/>
      <c r="AQ118" s="260"/>
      <c r="AS118" s="260"/>
      <c r="AU118" s="260"/>
      <c r="AW118" s="260"/>
    </row>
    <row r="119" spans="1:49" s="25" customFormat="1" ht="16.5" customHeight="1">
      <c r="A119" s="173"/>
      <c r="B119" s="174"/>
      <c r="C119" s="175"/>
      <c r="E119" s="253"/>
      <c r="F119" s="254"/>
      <c r="G119" s="254"/>
      <c r="H119" s="254"/>
      <c r="I119" s="254"/>
      <c r="J119" s="254"/>
      <c r="K119" s="254"/>
      <c r="L119" s="254"/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AK119" s="260"/>
      <c r="AQ119" s="260"/>
      <c r="AS119" s="260"/>
      <c r="AU119" s="260"/>
      <c r="AW119" s="260"/>
    </row>
    <row r="120" spans="1:49" s="25" customFormat="1" ht="16.5" customHeight="1">
      <c r="A120" s="173"/>
      <c r="B120" s="174"/>
      <c r="C120" s="175"/>
      <c r="E120" s="253"/>
      <c r="F120" s="254"/>
      <c r="G120" s="254"/>
      <c r="H120" s="254"/>
      <c r="I120" s="254"/>
      <c r="J120" s="254"/>
      <c r="K120" s="254"/>
      <c r="L120" s="254"/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AK120" s="260"/>
      <c r="AQ120" s="260"/>
      <c r="AS120" s="260"/>
      <c r="AU120" s="260"/>
      <c r="AW120" s="260"/>
    </row>
    <row r="121" spans="1:49" s="25" customFormat="1" ht="16.5" customHeight="1">
      <c r="A121" s="173"/>
      <c r="B121" s="174"/>
      <c r="C121" s="175"/>
      <c r="E121" s="253"/>
      <c r="F121" s="254"/>
      <c r="G121" s="254"/>
      <c r="H121" s="254"/>
      <c r="I121" s="254"/>
      <c r="J121" s="254"/>
      <c r="K121" s="254"/>
      <c r="L121" s="254"/>
      <c r="M121" s="254"/>
      <c r="N121" s="254"/>
      <c r="O121" s="254"/>
      <c r="P121" s="254"/>
      <c r="Q121" s="254"/>
      <c r="R121" s="254"/>
      <c r="S121" s="254"/>
      <c r="T121" s="254"/>
      <c r="U121" s="254"/>
      <c r="V121" s="254"/>
      <c r="AK121" s="260"/>
      <c r="AQ121" s="260"/>
      <c r="AS121" s="260"/>
      <c r="AU121" s="260"/>
      <c r="AW121" s="260"/>
    </row>
    <row r="122" spans="1:49" s="25" customFormat="1" ht="16.5" customHeight="1">
      <c r="A122" s="173"/>
      <c r="B122" s="174"/>
      <c r="C122" s="175"/>
      <c r="E122" s="253"/>
      <c r="F122" s="254"/>
      <c r="G122" s="254"/>
      <c r="H122" s="254"/>
      <c r="I122" s="254"/>
      <c r="J122" s="254"/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AK122" s="260"/>
      <c r="AQ122" s="260"/>
      <c r="AS122" s="260"/>
      <c r="AU122" s="260"/>
      <c r="AW122" s="260"/>
    </row>
    <row r="123" spans="1:49" s="25" customFormat="1" ht="16.5" customHeight="1">
      <c r="A123" s="173"/>
      <c r="B123" s="174"/>
      <c r="C123" s="175"/>
      <c r="E123" s="253"/>
      <c r="F123" s="254"/>
      <c r="G123" s="254"/>
      <c r="H123" s="254"/>
      <c r="I123" s="254"/>
      <c r="J123" s="254"/>
      <c r="K123" s="254"/>
      <c r="L123" s="254"/>
      <c r="M123" s="254"/>
      <c r="N123" s="254"/>
      <c r="O123" s="254"/>
      <c r="P123" s="254"/>
      <c r="Q123" s="254"/>
      <c r="R123" s="254"/>
      <c r="S123" s="254"/>
      <c r="T123" s="254"/>
      <c r="U123" s="254"/>
      <c r="V123" s="254"/>
      <c r="AK123" s="260"/>
      <c r="AQ123" s="260"/>
      <c r="AS123" s="260"/>
      <c r="AU123" s="260"/>
      <c r="AW123" s="260"/>
    </row>
    <row r="124" spans="1:49" s="25" customFormat="1" ht="16.5" customHeight="1">
      <c r="A124" s="173"/>
      <c r="B124" s="174"/>
      <c r="C124" s="175"/>
      <c r="E124" s="253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AK124" s="260"/>
      <c r="AQ124" s="260"/>
      <c r="AS124" s="260"/>
      <c r="AU124" s="260"/>
      <c r="AW124" s="260"/>
    </row>
    <row r="125" spans="1:49" s="25" customFormat="1" ht="16.5" customHeight="1">
      <c r="A125" s="173"/>
      <c r="B125" s="174"/>
      <c r="C125" s="175"/>
      <c r="E125" s="253"/>
      <c r="F125" s="254"/>
      <c r="G125" s="254"/>
      <c r="H125" s="254"/>
      <c r="I125" s="254"/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AK125" s="260"/>
      <c r="AQ125" s="260"/>
      <c r="AS125" s="260"/>
      <c r="AU125" s="260"/>
      <c r="AW125" s="260"/>
    </row>
    <row r="126" spans="1:49" s="25" customFormat="1" ht="16.5" customHeight="1">
      <c r="A126" s="173"/>
      <c r="B126" s="174"/>
      <c r="C126" s="175"/>
      <c r="E126" s="253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AK126" s="260"/>
      <c r="AQ126" s="260"/>
      <c r="AS126" s="260"/>
      <c r="AU126" s="260"/>
      <c r="AW126" s="260"/>
    </row>
    <row r="127" spans="1:49" s="25" customFormat="1" ht="16.5" customHeight="1">
      <c r="A127" s="173"/>
      <c r="B127" s="174"/>
      <c r="C127" s="175"/>
      <c r="E127" s="253"/>
      <c r="F127" s="254"/>
      <c r="G127" s="254"/>
      <c r="H127" s="254"/>
      <c r="I127" s="254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AK127" s="260"/>
      <c r="AQ127" s="260"/>
      <c r="AS127" s="260"/>
      <c r="AU127" s="260"/>
      <c r="AW127" s="260"/>
    </row>
    <row r="128" spans="1:49" s="25" customFormat="1" ht="16.5" customHeight="1">
      <c r="A128" s="173"/>
      <c r="B128" s="174"/>
      <c r="C128" s="175"/>
      <c r="E128" s="253"/>
      <c r="F128" s="254"/>
      <c r="G128" s="254"/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AK128" s="260"/>
      <c r="AQ128" s="260"/>
      <c r="AS128" s="260"/>
      <c r="AU128" s="260"/>
      <c r="AW128" s="260"/>
    </row>
    <row r="129" spans="1:49" s="25" customFormat="1" ht="16.5" customHeight="1">
      <c r="A129" s="173"/>
      <c r="B129" s="174"/>
      <c r="C129" s="175"/>
      <c r="E129" s="253"/>
      <c r="F129" s="254"/>
      <c r="G129" s="254"/>
      <c r="H129" s="254"/>
      <c r="I129" s="254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AK129" s="260"/>
      <c r="AQ129" s="260"/>
      <c r="AS129" s="260"/>
      <c r="AU129" s="260"/>
      <c r="AW129" s="260"/>
    </row>
    <row r="130" spans="1:49" s="25" customFormat="1" ht="16.5" customHeight="1">
      <c r="A130" s="173"/>
      <c r="B130" s="174"/>
      <c r="C130" s="175"/>
      <c r="E130" s="253"/>
      <c r="F130" s="254"/>
      <c r="G130" s="254"/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AK130" s="260"/>
      <c r="AQ130" s="260"/>
      <c r="AS130" s="260"/>
      <c r="AU130" s="260"/>
      <c r="AW130" s="260"/>
    </row>
    <row r="131" spans="1:49" s="25" customFormat="1" ht="16.5" customHeight="1">
      <c r="A131" s="173"/>
      <c r="B131" s="174"/>
      <c r="C131" s="175"/>
      <c r="E131" s="253"/>
      <c r="F131" s="254"/>
      <c r="G131" s="254"/>
      <c r="H131" s="254"/>
      <c r="I131" s="254"/>
      <c r="J131" s="254"/>
      <c r="K131" s="254"/>
      <c r="L131" s="254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AK131" s="260"/>
      <c r="AQ131" s="260"/>
      <c r="AS131" s="260"/>
      <c r="AU131" s="260"/>
      <c r="AW131" s="260"/>
    </row>
    <row r="132" spans="1:49" s="25" customFormat="1" ht="16.5" customHeight="1">
      <c r="A132" s="173"/>
      <c r="B132" s="174"/>
      <c r="C132" s="175"/>
      <c r="E132" s="253"/>
      <c r="F132" s="254"/>
      <c r="G132" s="254"/>
      <c r="H132" s="254"/>
      <c r="I132" s="254"/>
      <c r="J132" s="254"/>
      <c r="K132" s="254"/>
      <c r="L132" s="254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AK132" s="260"/>
      <c r="AQ132" s="260"/>
      <c r="AS132" s="260"/>
      <c r="AU132" s="260"/>
      <c r="AW132" s="260"/>
    </row>
    <row r="133" spans="1:49" s="25" customFormat="1" ht="16.5" customHeight="1">
      <c r="A133" s="173"/>
      <c r="B133" s="174"/>
      <c r="C133" s="175"/>
      <c r="E133" s="253"/>
      <c r="F133" s="254"/>
      <c r="G133" s="254"/>
      <c r="H133" s="254"/>
      <c r="I133" s="254"/>
      <c r="J133" s="25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AK133" s="260"/>
      <c r="AQ133" s="260"/>
      <c r="AS133" s="260"/>
      <c r="AU133" s="260"/>
      <c r="AW133" s="260"/>
    </row>
    <row r="134" spans="1:49" s="25" customFormat="1" ht="16.5" customHeight="1">
      <c r="A134" s="173"/>
      <c r="B134" s="174"/>
      <c r="C134" s="175"/>
      <c r="E134" s="253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AK134" s="260"/>
      <c r="AQ134" s="260"/>
      <c r="AS134" s="260"/>
      <c r="AU134" s="260"/>
      <c r="AW134" s="260"/>
    </row>
    <row r="135" spans="1:49" s="25" customFormat="1" ht="16.5" customHeight="1">
      <c r="A135" s="173"/>
      <c r="B135" s="174"/>
      <c r="C135" s="175"/>
      <c r="E135" s="253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AK135" s="260"/>
      <c r="AQ135" s="260"/>
      <c r="AS135" s="260"/>
      <c r="AU135" s="260"/>
      <c r="AW135" s="260"/>
    </row>
    <row r="136" spans="1:49" s="25" customFormat="1" ht="16.5" customHeight="1">
      <c r="A136" s="173"/>
      <c r="B136" s="174"/>
      <c r="C136" s="175"/>
      <c r="E136" s="253"/>
      <c r="F136" s="254"/>
      <c r="G136" s="254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AK136" s="260"/>
      <c r="AQ136" s="260"/>
      <c r="AS136" s="260"/>
      <c r="AU136" s="260"/>
      <c r="AW136" s="260"/>
    </row>
    <row r="137" spans="1:49" s="25" customFormat="1" ht="16.5" customHeight="1">
      <c r="A137" s="173"/>
      <c r="B137" s="174"/>
      <c r="C137" s="175"/>
      <c r="E137" s="253"/>
      <c r="F137" s="254"/>
      <c r="G137" s="254"/>
      <c r="H137" s="254"/>
      <c r="I137" s="254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AK137" s="260"/>
      <c r="AQ137" s="260"/>
      <c r="AS137" s="260"/>
      <c r="AU137" s="260"/>
      <c r="AW137" s="260"/>
    </row>
    <row r="138" spans="1:49" s="25" customFormat="1" ht="16.5" customHeight="1">
      <c r="A138" s="173"/>
      <c r="B138" s="174"/>
      <c r="C138" s="175"/>
      <c r="E138" s="253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AK138" s="260"/>
      <c r="AQ138" s="260"/>
      <c r="AS138" s="260"/>
      <c r="AU138" s="260"/>
      <c r="AW138" s="260"/>
    </row>
    <row r="139" spans="1:49" s="25" customFormat="1" ht="16.5" customHeight="1">
      <c r="A139" s="173"/>
      <c r="B139" s="174"/>
      <c r="C139" s="175"/>
      <c r="E139" s="253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AK139" s="260"/>
      <c r="AQ139" s="260"/>
      <c r="AS139" s="260"/>
      <c r="AU139" s="260"/>
      <c r="AW139" s="260"/>
    </row>
    <row r="140" spans="1:49" s="25" customFormat="1" ht="16.5" customHeight="1">
      <c r="A140" s="173"/>
      <c r="B140" s="174"/>
      <c r="C140" s="175"/>
      <c r="E140" s="253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AK140" s="260"/>
      <c r="AQ140" s="260"/>
      <c r="AS140" s="260"/>
      <c r="AU140" s="260"/>
      <c r="AW140" s="260"/>
    </row>
    <row r="141" spans="1:49" s="25" customFormat="1" ht="16.5" customHeight="1">
      <c r="A141" s="173"/>
      <c r="B141" s="174"/>
      <c r="C141" s="175"/>
      <c r="E141" s="253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AK141" s="260"/>
      <c r="AQ141" s="260"/>
      <c r="AS141" s="260"/>
      <c r="AU141" s="260"/>
      <c r="AW141" s="260"/>
    </row>
  </sheetData>
  <conditionalFormatting sqref="AK2:AK37 AQ2:AQ37 AS2:AS37 AU2:AU37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38:AK144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Q38:AQ144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S38:AS144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38:AU144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2:AW37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38:AW144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AK115"/>
  <sheetViews>
    <sheetView topLeftCell="A13" zoomScale="85" zoomScaleNormal="100" workbookViewId="0">
      <selection activeCell="F1" sqref="F1"/>
    </sheetView>
  </sheetViews>
  <sheetFormatPr defaultRowHeight="17.25" customHeight="1"/>
  <cols>
    <col min="1" max="1" width="10.42578125" style="27" customWidth="1"/>
    <col min="2" max="2" width="50.140625" style="28" customWidth="1"/>
    <col min="3" max="3" width="79.5703125" style="29" customWidth="1"/>
    <col min="4" max="4" width="7.140625" style="30" customWidth="1"/>
    <col min="5" max="5" width="5.85546875" style="29" customWidth="1"/>
    <col min="6" max="6" width="5.85546875" style="31" customWidth="1"/>
    <col min="7" max="7" width="31.140625" style="30" customWidth="1"/>
    <col min="8" max="8" width="5.85546875" style="31" customWidth="1"/>
    <col min="9" max="9" width="28.140625" style="30" customWidth="1"/>
    <col min="10" max="10" width="5.85546875" style="31" customWidth="1"/>
    <col min="11" max="11" width="5.85546875" style="30" customWidth="1"/>
    <col min="12" max="12" width="5.85546875" style="31" customWidth="1"/>
    <col min="13" max="13" width="5.85546875" style="30" customWidth="1"/>
    <col min="14" max="14" width="5.85546875" style="31" customWidth="1"/>
    <col min="15" max="15" width="31.85546875" style="30" customWidth="1"/>
    <col min="16" max="16" width="5.85546875" style="31" customWidth="1"/>
    <col min="17" max="17" width="13" style="30" customWidth="1"/>
    <col min="18" max="18" width="5.85546875" style="31" customWidth="1"/>
    <col min="19" max="19" width="14" style="30" customWidth="1"/>
    <col min="20" max="20" width="5.85546875" style="31" customWidth="1"/>
    <col min="21" max="21" width="5.85546875" style="30" customWidth="1"/>
    <col min="22" max="22" width="5.85546875" style="31" customWidth="1"/>
    <col min="23" max="27" width="5.85546875" style="30" customWidth="1"/>
    <col min="28" max="31" width="9.140625" style="30" customWidth="1"/>
    <col min="32" max="32" width="15" style="32" customWidth="1"/>
    <col min="33" max="34" width="30" style="30" customWidth="1"/>
    <col min="35" max="35" width="14.7109375" style="5" customWidth="1"/>
    <col min="36" max="36" width="30" style="30" customWidth="1"/>
    <col min="37" max="37" width="14.7109375" style="5" customWidth="1"/>
    <col min="38" max="38" width="9.140625" style="30" customWidth="1"/>
    <col min="39" max="16384" width="9.140625" style="30"/>
  </cols>
  <sheetData>
    <row r="1" spans="1:37" s="32" customFormat="1" ht="17.25" customHeight="1">
      <c r="A1" s="159" t="s">
        <v>0</v>
      </c>
      <c r="B1" s="159" t="s">
        <v>1</v>
      </c>
      <c r="C1" s="159" t="s">
        <v>2</v>
      </c>
      <c r="D1" s="160" t="s">
        <v>3</v>
      </c>
      <c r="E1" s="161" t="s">
        <v>250</v>
      </c>
      <c r="F1" s="405" t="s">
        <v>4</v>
      </c>
      <c r="G1" s="32">
        <f>5*60*1000*SpeedFaktor</f>
        <v>300000</v>
      </c>
      <c r="H1" s="163"/>
      <c r="I1" s="162"/>
      <c r="J1" s="163"/>
      <c r="K1" s="162"/>
      <c r="L1" s="163"/>
      <c r="M1" s="162"/>
      <c r="N1" s="163"/>
      <c r="P1" s="93"/>
      <c r="R1" s="34"/>
      <c r="T1" s="34"/>
      <c r="V1" s="34"/>
      <c r="AB1" s="35"/>
      <c r="AC1" s="35"/>
      <c r="AF1" s="36" t="s">
        <v>5</v>
      </c>
      <c r="AG1" s="32" t="s">
        <v>9</v>
      </c>
      <c r="AH1" s="32" t="s">
        <v>11</v>
      </c>
      <c r="AI1" s="10" t="s">
        <v>8</v>
      </c>
      <c r="AJ1" s="32" t="s">
        <v>12</v>
      </c>
      <c r="AK1" s="10" t="s">
        <v>8</v>
      </c>
    </row>
    <row r="2" spans="1:37" ht="17.25" customHeight="1">
      <c r="A2" s="27">
        <v>1</v>
      </c>
      <c r="B2" s="28" t="s">
        <v>20</v>
      </c>
      <c r="C2" s="94" t="str">
        <f>'07-E2E'!B61</f>
        <v>{"url":p.aventisURL}</v>
      </c>
      <c r="D2" s="41"/>
      <c r="E2" s="29" t="str">
        <f>F2&amp;G2&amp;H2&amp;I2&amp;J2&amp;K2&amp;L2&amp;M2&amp;N2&amp;O2&amp;P2&amp;Q2&amp;R2&amp;S2&amp;T2&amp;U2&amp;V2&amp;W2&amp;X2</f>
        <v>{"url":"https://dev.aventis.swiss"}</v>
      </c>
      <c r="F2" s="95" t="s">
        <v>37</v>
      </c>
      <c r="G2" s="96" t="s">
        <v>38</v>
      </c>
      <c r="H2" s="95" t="s">
        <v>34</v>
      </c>
      <c r="I2" s="41"/>
      <c r="J2" s="95"/>
      <c r="K2" s="41"/>
      <c r="L2" s="95"/>
      <c r="M2" s="41"/>
      <c r="N2" s="95"/>
      <c r="O2" s="41"/>
      <c r="P2" s="95"/>
      <c r="Q2" s="41"/>
      <c r="R2" s="39"/>
      <c r="S2" s="38"/>
      <c r="T2" s="39"/>
      <c r="U2" s="38"/>
      <c r="V2" s="39"/>
      <c r="W2" s="38"/>
      <c r="X2" s="38"/>
      <c r="Y2" s="38"/>
      <c r="Z2" s="38"/>
      <c r="AA2" s="38"/>
      <c r="AB2" s="38"/>
      <c r="AC2" s="38"/>
      <c r="AD2" s="38"/>
      <c r="AE2" s="38"/>
      <c r="AF2" s="40"/>
      <c r="AG2" s="41">
        <v>1400</v>
      </c>
      <c r="AH2" s="41">
        <v>1127</v>
      </c>
      <c r="AI2" s="16">
        <f>AH2/$AG2</f>
        <v>0.80500000000000005</v>
      </c>
      <c r="AJ2" s="41">
        <v>1450</v>
      </c>
      <c r="AK2" s="16">
        <f>AJ2/$AG2</f>
        <v>1.0357142857142858</v>
      </c>
    </row>
    <row r="3" spans="1:37" s="11" customFormat="1" ht="17.25" customHeight="1">
      <c r="A3" s="1">
        <v>3</v>
      </c>
      <c r="B3" s="97" t="s">
        <v>40</v>
      </c>
      <c r="C3" s="13"/>
      <c r="D3" s="2"/>
      <c r="E3" s="13"/>
      <c r="F3" s="98"/>
      <c r="G3" s="2"/>
      <c r="H3" s="98"/>
      <c r="I3" s="2"/>
      <c r="J3" s="98"/>
      <c r="K3" s="99"/>
      <c r="L3" s="98"/>
      <c r="M3" s="2"/>
      <c r="N3" s="98"/>
      <c r="O3" s="2"/>
      <c r="P3" s="98"/>
      <c r="Q3" s="2"/>
      <c r="R3" s="50"/>
      <c r="S3" s="14"/>
      <c r="T3" s="50"/>
      <c r="U3" s="14"/>
      <c r="V3" s="50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>
        <v>0</v>
      </c>
      <c r="AH3" s="18">
        <v>1</v>
      </c>
      <c r="AI3" s="16" t="e">
        <f t="shared" ref="AI3:AK27" si="0">AH3/$AG3</f>
        <v>#DIV/0!</v>
      </c>
      <c r="AJ3" s="15">
        <v>1</v>
      </c>
      <c r="AK3" s="16" t="e">
        <f t="shared" si="0"/>
        <v>#DIV/0!</v>
      </c>
    </row>
    <row r="4" spans="1:37" ht="17.25" customHeight="1">
      <c r="A4" s="100">
        <v>2</v>
      </c>
      <c r="B4" s="28" t="s">
        <v>23</v>
      </c>
      <c r="C4" s="29" t="str">
        <f>E4</f>
        <v>{"username":"bern.sozialarbeiterin1a@diartis.ch","password":"SMze97-jkSJ59!F.","fullname":"Sozialarbeiterin 1A Bern","team":"Sozialarbeit Bern 1"}</v>
      </c>
      <c r="E4" s="29" t="str">
        <f>F4&amp;G4&amp;H4&amp;I4&amp;J4&amp;K4&amp;L4&amp;M4&amp;N4&amp;O4&amp;P4&amp;Q4&amp;R4&amp;S4&amp;T4&amp;U4&amp;V4&amp;W4&amp;X4</f>
        <v>{"username":"bern.sozialarbeiterin1a@diartis.ch","password":"SMze97-jkSJ59!F.","fullname":"Sozialarbeiterin 1A Bern","team":"Sozialarbeit Bern 1"}</v>
      </c>
      <c r="F4" s="31" t="s">
        <v>27</v>
      </c>
      <c r="G4" s="30" t="s">
        <v>41</v>
      </c>
      <c r="H4" s="31" t="s">
        <v>29</v>
      </c>
      <c r="I4" s="30" t="s">
        <v>42</v>
      </c>
      <c r="J4" s="31" t="s">
        <v>43</v>
      </c>
      <c r="K4" s="30" t="s">
        <v>44</v>
      </c>
      <c r="L4" s="31" t="s">
        <v>45</v>
      </c>
      <c r="M4" s="30" t="s">
        <v>46</v>
      </c>
      <c r="N4" s="31" t="s">
        <v>34</v>
      </c>
      <c r="AF4" s="30"/>
      <c r="AG4" s="41">
        <v>5042</v>
      </c>
      <c r="AH4" s="41">
        <v>4441</v>
      </c>
      <c r="AI4" s="16">
        <f t="shared" si="0"/>
        <v>0.88080126933756442</v>
      </c>
      <c r="AJ4" s="41">
        <v>4401</v>
      </c>
      <c r="AK4" s="16">
        <f t="shared" si="0"/>
        <v>0.87286790955969851</v>
      </c>
    </row>
    <row r="5" spans="1:37" ht="17.25" customHeight="1">
      <c r="A5" s="27">
        <v>3</v>
      </c>
      <c r="B5" s="28" t="s">
        <v>47</v>
      </c>
      <c r="C5" s="41" t="str">
        <f>E5</f>
        <v>{"name":p.FamilyName7,"vorname":p.ManFirstName7,"ahvNumber":"","geburtsdatum":""}</v>
      </c>
      <c r="D5" s="41"/>
      <c r="E5" s="29" t="str">
        <f>F5&amp;G5&amp;H5&amp;I5&amp;J5&amp;K5&amp;L5&amp;M5&amp;N5&amp;O5&amp;P5&amp;Q5&amp;R5&amp;S5&amp;T5&amp;U5&amp;V5&amp;W5&amp;X5</f>
        <v>{"name":p.FamilyName7,"vorname":p.ManFirstName7,"ahvNumber":"","geburtsdatum":""}</v>
      </c>
      <c r="F5" s="101" t="s">
        <v>48</v>
      </c>
      <c r="G5" s="102" t="str">
        <f>G57</f>
        <v>p.FamilyName7</v>
      </c>
      <c r="H5" s="95" t="s">
        <v>49</v>
      </c>
      <c r="I5" s="102" t="str">
        <f>H$56</f>
        <v>p.ManFirstName7</v>
      </c>
      <c r="J5" s="95" t="s">
        <v>50</v>
      </c>
      <c r="K5" s="41"/>
      <c r="L5" s="95" t="s">
        <v>51</v>
      </c>
      <c r="M5" s="103"/>
      <c r="N5" s="95" t="s">
        <v>34</v>
      </c>
      <c r="O5" s="41"/>
      <c r="P5" s="95"/>
      <c r="Q5" s="41"/>
      <c r="R5" s="39"/>
      <c r="S5" s="38"/>
      <c r="T5" s="39"/>
      <c r="U5" s="38"/>
      <c r="V5" s="39"/>
      <c r="W5" s="38"/>
      <c r="X5" s="38"/>
      <c r="Y5" s="51" t="s">
        <v>52</v>
      </c>
      <c r="Z5" s="38"/>
      <c r="AA5" s="38"/>
      <c r="AB5" s="38"/>
      <c r="AC5" s="38"/>
      <c r="AD5" s="38"/>
      <c r="AE5" s="38"/>
      <c r="AF5" s="40"/>
      <c r="AG5" s="41">
        <v>1945</v>
      </c>
      <c r="AH5" s="41">
        <v>1793</v>
      </c>
      <c r="AI5" s="16">
        <f t="shared" si="0"/>
        <v>0.92185089974293055</v>
      </c>
      <c r="AJ5" s="41">
        <v>1684</v>
      </c>
      <c r="AK5" s="16">
        <f t="shared" si="0"/>
        <v>0.86580976863753212</v>
      </c>
    </row>
    <row r="6" spans="1:37" ht="17.25" customHeight="1">
      <c r="A6" s="27">
        <v>4</v>
      </c>
      <c r="B6" s="30" t="s">
        <v>53</v>
      </c>
      <c r="C6" s="104" t="str">
        <f ca="1">E6</f>
        <v>{"name":p.FamilyName7,"vorname":p.ManFirstName7,"ahvNumber":p.AHVNumber28,"language":"Deutsch","zivilstand":"ledig","zivilStandSeit":"28.07.2025","geburtsdatum":"20.6.1962","national":"Frankreich","gender":"männlich","aufenthalt":"","aufGultigVon":"03.10.2025","aufGueltigBis":"13.02.2026"}</v>
      </c>
      <c r="E6" s="29" t="str">
        <f ca="1">F6&amp;G6&amp;H6&amp;I6&amp;J6&amp;K6&amp;L6&amp;M6&amp;N6&amp;O6&amp;P6&amp;Q6&amp;R6&amp;S6&amp;T6&amp;U6&amp;V6&amp;W6&amp;X6&amp;Y6&amp;Z6&amp;AA6&amp;AB6&amp;AC6&amp;AD6&amp;AE6</f>
        <v>{"name":p.FamilyName7,"vorname":p.ManFirstName7,"ahvNumber":p.AHVNumber28,"language":"Deutsch","zivilstand":"ledig","zivilStandSeit":"28.07.2025","geburtsdatum":"20.6.1962","national":"Frankreich","gender":"männlich","aufenthalt":"","aufGultigVon":"03.10.2025","aufGueltigBis":"13.02.2026"}</v>
      </c>
      <c r="F6" s="95" t="s">
        <v>48</v>
      </c>
      <c r="G6" s="30" t="str">
        <f>G5</f>
        <v>p.FamilyName7</v>
      </c>
      <c r="H6" s="95" t="s">
        <v>49</v>
      </c>
      <c r="I6" s="102" t="str">
        <f>H$56</f>
        <v>p.ManFirstName7</v>
      </c>
      <c r="J6" s="95" t="s">
        <v>54</v>
      </c>
      <c r="K6" s="30" t="str">
        <f>I$59</f>
        <v>p.AHVNumber28</v>
      </c>
      <c r="L6" s="95" t="s">
        <v>55</v>
      </c>
      <c r="M6" s="103" t="s">
        <v>56</v>
      </c>
      <c r="N6" s="95" t="s">
        <v>57</v>
      </c>
      <c r="O6" s="41" t="s">
        <v>58</v>
      </c>
      <c r="P6" s="53" t="s">
        <v>59</v>
      </c>
      <c r="Q6" s="30" t="str">
        <f ca="1">TEXT(TEXT(TODAY()-100,"DD")&amp;"."&amp;TEXT(TODAY()-100,"MM")&amp;"."&amp;TEXT(TODAY()-100,"YYYY"),"DD.MM.YYYY")</f>
        <v>28.07.2025</v>
      </c>
      <c r="R6" s="39" t="s">
        <v>60</v>
      </c>
      <c r="S6" s="54" t="str">
        <f ca="1">TEXT(RANDBETWEEN(1,28)&amp;"."&amp;RANDBETWEEN(1,12)&amp;"."&amp;TEXT(TODAY()-23115,"YYYY"),"DD.MM.YYYY")</f>
        <v>20.6.1962</v>
      </c>
      <c r="T6" s="39" t="s">
        <v>61</v>
      </c>
      <c r="U6" s="38" t="s">
        <v>62</v>
      </c>
      <c r="V6" s="39" t="s">
        <v>63</v>
      </c>
      <c r="W6" s="30" t="s">
        <v>64</v>
      </c>
      <c r="X6" s="39" t="s">
        <v>65</v>
      </c>
      <c r="Y6" s="51"/>
      <c r="Z6" s="53" t="s">
        <v>66</v>
      </c>
      <c r="AA6" s="30" t="str">
        <f ca="1">TEXT(TEXT(TODAY()-33,"DD")&amp;"."&amp;TEXT(TODAY()-33,"MM")&amp;"."&amp;TEXT(TODAY()-33,"YYYY"),"DD.MM.YYYY")</f>
        <v>03.10.2025</v>
      </c>
      <c r="AB6" s="53" t="s">
        <v>67</v>
      </c>
      <c r="AC6" s="30" t="str">
        <f ca="1">TEXT(TEXT(TODAY()+100,"DD")&amp;"."&amp;TEXT(TODAY()+100,"MM")&amp;"."&amp;TEXT(TODAY()+100,"YYYY"),"DD.MM.YYYY")</f>
        <v>13.02.2026</v>
      </c>
      <c r="AD6" s="30" t="s">
        <v>34</v>
      </c>
      <c r="AF6" s="40"/>
      <c r="AG6" s="41">
        <v>3230</v>
      </c>
      <c r="AH6" s="41">
        <v>3145</v>
      </c>
      <c r="AI6" s="16">
        <f t="shared" si="0"/>
        <v>0.97368421052631582</v>
      </c>
      <c r="AJ6" s="41">
        <v>3318</v>
      </c>
      <c r="AK6" s="16">
        <f t="shared" si="0"/>
        <v>1.0272445820433436</v>
      </c>
    </row>
    <row r="7" spans="1:37" ht="17.25" customHeight="1">
      <c r="A7" s="27">
        <v>5</v>
      </c>
      <c r="B7" s="28" t="s">
        <v>68</v>
      </c>
      <c r="C7" s="29" t="str">
        <f ca="1">E7</f>
        <v>{"mobile":"079 5641500","privateNumber":"079 5326925","email":"2213abc@gmail.com"}</v>
      </c>
      <c r="D7" s="41"/>
      <c r="E7" s="29" t="str">
        <f ca="1">F7&amp;G7&amp;H7&amp;I7&amp;J7&amp;K7&amp;L7&amp;M7&amp;N7&amp;O7&amp;P7&amp;Q7&amp;R7&amp;S7&amp;T7&amp;U7&amp;V7&amp;W7&amp;X7</f>
        <v>{"mobile":"079 5641500","privateNumber":"079 5326925","email":"2213abc@gmail.com"}</v>
      </c>
      <c r="F7" s="101" t="s">
        <v>69</v>
      </c>
      <c r="G7" s="41" t="str">
        <f ca="1">"079 "&amp;RANDBETWEEN(5234500,5699999)</f>
        <v>079 5641500</v>
      </c>
      <c r="H7" s="95" t="s">
        <v>70</v>
      </c>
      <c r="I7" s="41" t="str">
        <f ca="1">"079 "&amp;RANDBETWEEN(5234500,5699999)</f>
        <v>079 5326925</v>
      </c>
      <c r="J7" s="95" t="s">
        <v>71</v>
      </c>
      <c r="K7" s="96" t="str">
        <f ca="1">RANDBETWEEN(1111,9999)&amp;"abc@gmail.com"</f>
        <v>2213abc@gmail.com</v>
      </c>
      <c r="L7" s="95" t="s">
        <v>34</v>
      </c>
      <c r="M7" s="41"/>
      <c r="N7" s="95"/>
      <c r="O7" s="41"/>
      <c r="P7" s="41"/>
      <c r="Q7" s="41"/>
      <c r="R7" s="39"/>
      <c r="S7" s="38"/>
      <c r="T7" s="39"/>
      <c r="U7" s="38"/>
      <c r="V7" s="39"/>
      <c r="W7" s="38"/>
      <c r="X7" s="38"/>
      <c r="Y7" s="38"/>
      <c r="Z7" s="38"/>
      <c r="AA7" s="38"/>
      <c r="AB7" s="38"/>
      <c r="AC7" s="38"/>
      <c r="AD7" s="38"/>
      <c r="AE7" s="38"/>
      <c r="AF7" s="40"/>
      <c r="AG7" s="41">
        <v>379</v>
      </c>
      <c r="AH7" s="41">
        <v>345</v>
      </c>
      <c r="AI7" s="16">
        <f t="shared" si="0"/>
        <v>0.91029023746701843</v>
      </c>
      <c r="AJ7" s="41">
        <v>416</v>
      </c>
      <c r="AK7" s="16">
        <f t="shared" si="0"/>
        <v>1.0976253298153034</v>
      </c>
    </row>
    <row r="8" spans="1:37" ht="17.25" customHeight="1">
      <c r="A8" s="27">
        <v>6</v>
      </c>
      <c r="B8" s="28" t="s">
        <v>72</v>
      </c>
      <c r="C8" s="29" t="str">
        <f ca="1">E8</f>
        <v>{"zusatz":"","strasse":"Strasse_978","houseNumber":"28","ort":"3053 Münchenbuchsee","validDate":"11.7.2021"}</v>
      </c>
      <c r="D8" s="41"/>
      <c r="E8" s="29" t="str">
        <f ca="1">F8&amp;G8&amp;H8&amp;I8&amp;J8&amp;K8&amp;L8&amp;M8&amp;N8&amp;O8&amp;P8&amp;Q8&amp;R8&amp;S8&amp;T8&amp;U8&amp;V8&amp;W8&amp;X8</f>
        <v>{"zusatz":"","strasse":"Strasse_978","houseNumber":"28","ort":"3053 Münchenbuchsee","validDate":"11.7.2021"}</v>
      </c>
      <c r="F8" s="95" t="s">
        <v>73</v>
      </c>
      <c r="G8" s="41"/>
      <c r="H8" s="95" t="s">
        <v>74</v>
      </c>
      <c r="I8" s="41" t="str">
        <f ca="1">"Strasse_"&amp;RANDBETWEEN(1,1000)</f>
        <v>Strasse_978</v>
      </c>
      <c r="J8" s="95" t="s">
        <v>75</v>
      </c>
      <c r="K8" s="41">
        <f ca="1">RANDBETWEEN(1,100)</f>
        <v>28</v>
      </c>
      <c r="L8" s="95" t="s">
        <v>76</v>
      </c>
      <c r="M8" s="41" t="s">
        <v>77</v>
      </c>
      <c r="N8" s="95" t="s">
        <v>78</v>
      </c>
      <c r="O8" s="105" t="str">
        <f ca="1">TEXT(RANDBETWEEN(1,28)&amp;"."&amp;RANDBETWEEN(1,12)&amp;"."&amp;TEXT(TODAY()-4*365,"YYYY"),"DD.MM.YYYY")</f>
        <v>11.7.2021</v>
      </c>
      <c r="P8" s="95" t="s">
        <v>34</v>
      </c>
      <c r="Q8" s="41"/>
      <c r="R8" s="39"/>
      <c r="S8" s="38"/>
      <c r="T8" s="39"/>
      <c r="U8" s="38"/>
      <c r="V8" s="39"/>
      <c r="W8" s="38"/>
      <c r="X8" s="38"/>
      <c r="Y8" s="38"/>
      <c r="Z8" s="38"/>
      <c r="AA8" s="38"/>
      <c r="AB8" s="38"/>
      <c r="AC8" s="38"/>
      <c r="AD8" s="38"/>
      <c r="AE8" s="38"/>
      <c r="AF8" s="40"/>
      <c r="AG8" s="41">
        <v>4985</v>
      </c>
      <c r="AH8" s="41">
        <v>5033</v>
      </c>
      <c r="AI8" s="16">
        <f t="shared" si="0"/>
        <v>1.0096288866599799</v>
      </c>
      <c r="AJ8" s="41">
        <v>4853</v>
      </c>
      <c r="AK8" s="16">
        <f t="shared" si="0"/>
        <v>0.97352056168505519</v>
      </c>
    </row>
    <row r="9" spans="1:37" ht="17.25" customHeight="1">
      <c r="A9" s="27">
        <v>7</v>
      </c>
      <c r="B9" s="28" t="s">
        <v>79</v>
      </c>
      <c r="C9" s="29" t="s">
        <v>80</v>
      </c>
      <c r="D9" s="41"/>
      <c r="F9" s="95"/>
      <c r="G9" s="41"/>
      <c r="H9" s="95"/>
      <c r="I9" s="41"/>
      <c r="J9" s="95"/>
      <c r="K9" s="41"/>
      <c r="L9" s="95"/>
      <c r="M9" s="41"/>
      <c r="N9" s="95"/>
      <c r="O9" s="41"/>
      <c r="P9" s="95"/>
      <c r="Q9" s="41"/>
      <c r="R9" s="39"/>
      <c r="S9" s="38"/>
      <c r="T9" s="39"/>
      <c r="U9" s="38"/>
      <c r="V9" s="39"/>
      <c r="W9" s="38"/>
      <c r="X9" s="38"/>
      <c r="Y9" s="38"/>
      <c r="Z9" s="38"/>
      <c r="AA9" s="38"/>
      <c r="AB9" s="38"/>
      <c r="AC9" s="38"/>
      <c r="AD9" s="38"/>
      <c r="AE9" s="38"/>
      <c r="AF9" s="40"/>
      <c r="AG9" s="41">
        <v>87</v>
      </c>
      <c r="AH9" s="41">
        <v>82</v>
      </c>
      <c r="AI9" s="16">
        <f t="shared" si="0"/>
        <v>0.94252873563218387</v>
      </c>
      <c r="AJ9" s="41">
        <v>126</v>
      </c>
      <c r="AK9" s="16">
        <f t="shared" si="0"/>
        <v>1.4482758620689655</v>
      </c>
    </row>
    <row r="10" spans="1:37" ht="17.25" customHeight="1">
      <c r="A10" s="27">
        <v>8</v>
      </c>
      <c r="B10" s="28" t="s">
        <v>81</v>
      </c>
      <c r="D10" s="41"/>
      <c r="F10" s="95"/>
      <c r="G10" s="41"/>
      <c r="H10" s="95"/>
      <c r="I10" s="41"/>
      <c r="J10" s="95"/>
      <c r="K10" s="41"/>
      <c r="L10" s="95"/>
      <c r="M10" s="41"/>
      <c r="N10" s="95"/>
      <c r="O10" s="41"/>
      <c r="P10" s="95"/>
      <c r="Q10" s="41"/>
      <c r="R10" s="39"/>
      <c r="S10" s="38"/>
      <c r="T10" s="39"/>
      <c r="U10" s="38"/>
      <c r="V10" s="39"/>
      <c r="W10" s="38"/>
      <c r="X10" s="38"/>
      <c r="Y10" s="38"/>
      <c r="Z10" s="38"/>
      <c r="AA10" s="38"/>
      <c r="AB10" s="38"/>
      <c r="AC10" s="38"/>
      <c r="AD10" s="38"/>
      <c r="AE10" s="38"/>
      <c r="AF10" s="40"/>
      <c r="AG10" s="41">
        <v>1160</v>
      </c>
      <c r="AH10" s="41">
        <v>1165</v>
      </c>
      <c r="AI10" s="16">
        <f t="shared" si="0"/>
        <v>1.0043103448275863</v>
      </c>
      <c r="AJ10" s="41">
        <v>1206</v>
      </c>
      <c r="AK10" s="16">
        <f t="shared" si="0"/>
        <v>1.039655172413793</v>
      </c>
    </row>
    <row r="11" spans="1:37" ht="17.25" customHeight="1">
      <c r="A11" s="27">
        <v>9</v>
      </c>
      <c r="B11" s="28" t="s">
        <v>82</v>
      </c>
      <c r="C11" s="29" t="str">
        <f t="shared" ref="C11:C25" si="1">E11</f>
        <v>{"zust_Gemeinde":"Münchenbuchsee","zust_SozTeam":"Sozialarbeit Bern 1","zust_SozMitarbeiter":"Bern Sozialarbeiterin 1A","zust_SachbTeam":"Sachbearbeitung Bern","zust_SachbMitarbeiter":"Bern Sachbearbeiterin"}</v>
      </c>
      <c r="D11" s="41"/>
      <c r="E11" s="41" t="str">
        <f t="shared" ref="E11:E24" si="2">F11&amp;G11&amp;H11&amp;I11&amp;J11&amp;K11&amp;L11&amp;M11&amp;N11&amp;O11&amp;P11&amp;Q11&amp;R11&amp;S11&amp;T11&amp;U11&amp;V11&amp;W11&amp;X11</f>
        <v>{"zust_Gemeinde":"Münchenbuchsee","zust_SozTeam":"Sozialarbeit Bern 1","zust_SozMitarbeiter":"Bern Sozialarbeiterin 1A","zust_SachbTeam":"Sachbearbeitung Bern","zust_SachbMitarbeiter":"Bern Sachbearbeiterin"}</v>
      </c>
      <c r="F11" s="95" t="s">
        <v>83</v>
      </c>
      <c r="G11" s="41" t="s">
        <v>84</v>
      </c>
      <c r="H11" s="95" t="s">
        <v>85</v>
      </c>
      <c r="I11" s="41" t="s">
        <v>46</v>
      </c>
      <c r="J11" s="95" t="s">
        <v>86</v>
      </c>
      <c r="K11" s="41" t="s">
        <v>87</v>
      </c>
      <c r="L11" s="95" t="s">
        <v>88</v>
      </c>
      <c r="M11" s="41" t="s">
        <v>89</v>
      </c>
      <c r="N11" s="95" t="s">
        <v>90</v>
      </c>
      <c r="O11" s="41" t="s">
        <v>91</v>
      </c>
      <c r="P11" s="95" t="s">
        <v>34</v>
      </c>
      <c r="Q11" s="41"/>
      <c r="R11" s="39"/>
      <c r="S11" s="38"/>
      <c r="T11" s="39"/>
      <c r="U11" s="38"/>
      <c r="V11" s="39"/>
      <c r="W11" s="38"/>
      <c r="X11" s="38"/>
      <c r="Y11" s="38"/>
      <c r="Z11" s="38"/>
      <c r="AA11" s="38"/>
      <c r="AB11" s="38"/>
      <c r="AC11" s="38"/>
      <c r="AD11" s="38"/>
      <c r="AE11" s="38"/>
      <c r="AF11" s="40"/>
      <c r="AG11" s="41">
        <v>3992</v>
      </c>
      <c r="AH11" s="41">
        <v>4057</v>
      </c>
      <c r="AI11" s="16">
        <f t="shared" si="0"/>
        <v>1.0162825651302605</v>
      </c>
      <c r="AJ11" s="41">
        <v>4001</v>
      </c>
      <c r="AK11" s="16">
        <f t="shared" si="0"/>
        <v>1.0022545090180361</v>
      </c>
    </row>
    <row r="12" spans="1:37" ht="17.25" customHeight="1">
      <c r="A12" s="27">
        <v>10</v>
      </c>
      <c r="B12" s="28" t="s">
        <v>92</v>
      </c>
      <c r="C12" s="29" t="str">
        <f t="shared" ca="1" si="1"/>
        <v>{"dossierBezeichnung":p.DossierName7,"eroeffnetAm":"05.11.2025","dossierSprache":"Deutsch"}</v>
      </c>
      <c r="D12" s="41"/>
      <c r="E12" s="29" t="str">
        <f t="shared" ca="1" si="2"/>
        <v>{"dossierBezeichnung":p.DossierName7,"eroeffnetAm":"05.11.2025","dossierSprache":"Deutsch"}</v>
      </c>
      <c r="F12" s="95" t="s">
        <v>93</v>
      </c>
      <c r="G12" s="106" t="str">
        <f>G56</f>
        <v>p.DossierName7</v>
      </c>
      <c r="H12" s="95" t="s">
        <v>94</v>
      </c>
      <c r="I12" s="30" t="str">
        <f ca="1">TEXT(TEXT(TODAY(),"DD")&amp;"."&amp;TEXT(TODAY(),"MM")&amp;"."&amp;TEXT(TODAY(),"YYYY"),"DD.MM.YYYY")</f>
        <v>05.11.2025</v>
      </c>
      <c r="J12" s="95" t="s">
        <v>95</v>
      </c>
      <c r="K12" s="41" t="s">
        <v>56</v>
      </c>
      <c r="L12" s="95" t="s">
        <v>34</v>
      </c>
      <c r="M12" s="41"/>
      <c r="N12" s="95"/>
      <c r="O12" s="41"/>
      <c r="P12" s="95"/>
      <c r="Q12" s="41"/>
      <c r="R12" s="39"/>
      <c r="S12" s="38"/>
      <c r="T12" s="39"/>
      <c r="U12" s="38"/>
      <c r="V12" s="39"/>
      <c r="W12" s="38"/>
      <c r="X12" s="38"/>
      <c r="Y12" s="38"/>
      <c r="Z12" s="38"/>
      <c r="AA12" s="38"/>
      <c r="AB12" s="38"/>
      <c r="AC12" s="38"/>
      <c r="AD12" s="38"/>
      <c r="AE12" s="38"/>
      <c r="AF12" s="40"/>
      <c r="AG12" s="41">
        <v>1059</v>
      </c>
      <c r="AH12" s="41">
        <v>1028</v>
      </c>
      <c r="AI12" s="16">
        <f t="shared" si="0"/>
        <v>0.97072710103871573</v>
      </c>
      <c r="AJ12" s="41">
        <v>908</v>
      </c>
      <c r="AK12" s="16">
        <f t="shared" si="0"/>
        <v>0.85741265344664774</v>
      </c>
    </row>
    <row r="13" spans="1:37" ht="17.25" customHeight="1">
      <c r="A13" s="27">
        <v>13</v>
      </c>
      <c r="B13" s="28" t="s">
        <v>96</v>
      </c>
      <c r="C13" s="29" t="str">
        <f>E13</f>
        <v>{"dossierInstitution":p.DossierName7,"klientschaft":`${p.FamilyName7}, ${p.ManFirstName7}`,"buttonBewilligung":"Anfragen","checkStatus":"In Bearbeitung"}</v>
      </c>
      <c r="E13" s="29" t="str">
        <f>F13&amp;G13&amp;H13&amp;I13&amp;J13&amp;K13&amp;L13&amp;M13&amp;N13&amp;O13&amp;P13&amp;Q13&amp;R13&amp;S13&amp;T13&amp;U13&amp;V13&amp;W13&amp;X13</f>
        <v>{"dossierInstitution":p.DossierName7,"klientschaft":`${p.FamilyName7}, ${p.ManFirstName7}`,"buttonBewilligung":"Anfragen","checkStatus":"In Bearbeitung"}</v>
      </c>
      <c r="F13" s="31" t="s">
        <v>97</v>
      </c>
      <c r="G13" s="94" t="str">
        <f>G12</f>
        <v>p.DossierName7</v>
      </c>
      <c r="H13" s="31" t="s">
        <v>98</v>
      </c>
      <c r="I13" s="30" t="str">
        <f>I23</f>
        <v>${p.FamilyName7}, ${p.ManFirstName7}</v>
      </c>
      <c r="J13" s="31" t="s">
        <v>99</v>
      </c>
      <c r="K13" s="105" t="s">
        <v>100</v>
      </c>
      <c r="L13" s="31" t="s">
        <v>101</v>
      </c>
      <c r="M13" s="31" t="s">
        <v>102</v>
      </c>
      <c r="N13" s="31" t="s">
        <v>34</v>
      </c>
      <c r="R13" s="56"/>
      <c r="S13" s="55"/>
      <c r="T13" s="56"/>
      <c r="U13" s="55"/>
      <c r="V13" s="56"/>
      <c r="W13" s="55"/>
      <c r="X13" s="55"/>
      <c r="Y13" s="55"/>
      <c r="Z13" s="55"/>
      <c r="AA13" s="55"/>
      <c r="AB13" s="55"/>
      <c r="AC13" s="55"/>
      <c r="AD13" s="55"/>
      <c r="AE13" s="55"/>
      <c r="AF13" s="40"/>
      <c r="AG13" s="41">
        <v>10602</v>
      </c>
      <c r="AH13" s="41">
        <v>12109</v>
      </c>
      <c r="AI13" s="16">
        <f t="shared" si="0"/>
        <v>1.142142991888323</v>
      </c>
      <c r="AJ13" s="41">
        <v>10673</v>
      </c>
      <c r="AK13" s="16">
        <f t="shared" si="0"/>
        <v>1.0066968496510091</v>
      </c>
    </row>
    <row r="14" spans="1:37" ht="17.25" customHeight="1">
      <c r="A14" s="27">
        <v>14</v>
      </c>
      <c r="B14" s="28" t="s">
        <v>103</v>
      </c>
      <c r="C14" s="29" t="str">
        <f>E14</f>
        <v>{"username":"Bern.Sachbearbeiterin@diartis.ch","password":"XXxa22?pdTA66-S@"}</v>
      </c>
      <c r="D14" s="41"/>
      <c r="E14" s="29" t="str">
        <f>F14&amp;G14&amp;H14&amp;I14&amp;J14&amp;K14&amp;L14&amp;M14&amp;N14&amp;O14&amp;P14&amp;Q14&amp;R14&amp;S14&amp;T14&amp;U14&amp;V14&amp;W14&amp;X14</f>
        <v>{"username":"Bern.Sachbearbeiterin@diartis.ch","password":"XXxa22?pdTA66-S@"}</v>
      </c>
      <c r="F14" s="95" t="s">
        <v>27</v>
      </c>
      <c r="G14" s="96" t="s">
        <v>28</v>
      </c>
      <c r="H14" s="95" t="s">
        <v>29</v>
      </c>
      <c r="I14" s="107" t="s">
        <v>30</v>
      </c>
      <c r="J14" s="95" t="s">
        <v>34</v>
      </c>
      <c r="K14" s="105"/>
      <c r="L14" s="95"/>
      <c r="M14" s="41"/>
      <c r="N14" s="95"/>
      <c r="O14" s="41"/>
      <c r="P14" s="95"/>
      <c r="Q14" s="41"/>
      <c r="R14" s="39"/>
      <c r="S14" s="38"/>
      <c r="T14" s="39"/>
      <c r="U14" s="38"/>
      <c r="V14" s="39"/>
      <c r="W14" s="38"/>
      <c r="X14" s="38"/>
      <c r="Y14" s="38"/>
      <c r="Z14" s="38"/>
      <c r="AA14" s="38"/>
      <c r="AB14" s="38"/>
      <c r="AC14" s="38"/>
      <c r="AD14" s="38"/>
      <c r="AE14" s="38"/>
      <c r="AF14" s="49"/>
      <c r="AG14" s="41">
        <v>9576</v>
      </c>
      <c r="AH14" s="41">
        <v>8975</v>
      </c>
      <c r="AI14" s="16">
        <f t="shared" si="0"/>
        <v>0.93723893065998332</v>
      </c>
      <c r="AJ14" s="41">
        <v>9108</v>
      </c>
      <c r="AK14" s="16">
        <f t="shared" si="0"/>
        <v>0.95112781954887216</v>
      </c>
    </row>
    <row r="15" spans="1:37" ht="17.25" customHeight="1">
      <c r="A15" s="27">
        <v>15</v>
      </c>
      <c r="B15" s="28" t="s">
        <v>96</v>
      </c>
      <c r="C15" s="29" t="str">
        <f>E15</f>
        <v>{"dossierInstitution":p.DossierName1,"klientschaft":`${p.FamilyName7}, ${p.ManFirstName7}`,"buttonBewilligung":"Bewilligen","checkStatus":"Bewilligt"}</v>
      </c>
      <c r="E15" s="29" t="str">
        <f>F15&amp;G15&amp;H15&amp;I15&amp;J15&amp;K15&amp;L15&amp;M15&amp;N15&amp;O15&amp;P15&amp;Q15&amp;R15&amp;S15&amp;T15&amp;U15&amp;V15&amp;W15&amp;X15</f>
        <v>{"dossierInstitution":p.DossierName1,"klientschaft":`${p.FamilyName7}, ${p.ManFirstName7}`,"buttonBewilligung":"Bewilligen","checkStatus":"Bewilligt"}</v>
      </c>
      <c r="F15" s="31" t="s">
        <v>97</v>
      </c>
      <c r="G15" s="94" t="s">
        <v>104</v>
      </c>
      <c r="H15" s="31" t="s">
        <v>98</v>
      </c>
      <c r="I15" s="30" t="str">
        <f>I23</f>
        <v>${p.FamilyName7}, ${p.ManFirstName7}</v>
      </c>
      <c r="J15" s="31" t="s">
        <v>99</v>
      </c>
      <c r="K15" s="105" t="s">
        <v>105</v>
      </c>
      <c r="L15" s="31" t="s">
        <v>101</v>
      </c>
      <c r="M15" s="31" t="s">
        <v>106</v>
      </c>
      <c r="N15" s="31" t="s">
        <v>34</v>
      </c>
      <c r="R15" s="56"/>
      <c r="S15" s="55"/>
      <c r="T15" s="56"/>
      <c r="U15" s="55"/>
      <c r="V15" s="56"/>
      <c r="W15" s="55"/>
      <c r="X15" s="55"/>
      <c r="Y15" s="55"/>
      <c r="Z15" s="55"/>
      <c r="AA15" s="55"/>
      <c r="AB15" s="55"/>
      <c r="AC15" s="55"/>
      <c r="AD15" s="55"/>
      <c r="AE15" s="55"/>
      <c r="AF15" s="57"/>
      <c r="AG15" s="41">
        <v>9599</v>
      </c>
      <c r="AH15" s="41">
        <v>9790</v>
      </c>
      <c r="AI15" s="16">
        <f t="shared" si="0"/>
        <v>1.0198979060318782</v>
      </c>
      <c r="AJ15" s="41">
        <v>10044</v>
      </c>
      <c r="AK15" s="16">
        <f t="shared" si="0"/>
        <v>1.0463589957287218</v>
      </c>
    </row>
    <row r="16" spans="1:37" ht="17.25" customHeight="1">
      <c r="A16" s="27">
        <v>16</v>
      </c>
      <c r="B16" s="28" t="s">
        <v>103</v>
      </c>
      <c r="C16" s="108" t="s">
        <v>107</v>
      </c>
      <c r="E16" s="29">
        <v>2</v>
      </c>
      <c r="F16" s="95" t="s">
        <v>27</v>
      </c>
      <c r="G16" s="30" t="s">
        <v>28</v>
      </c>
      <c r="H16" s="95" t="s">
        <v>29</v>
      </c>
      <c r="I16" s="30" t="s">
        <v>30</v>
      </c>
      <c r="J16" s="95" t="s">
        <v>34</v>
      </c>
      <c r="L16" s="95"/>
      <c r="N16" s="95"/>
      <c r="P16" s="95"/>
      <c r="R16" s="39"/>
      <c r="T16" s="39"/>
      <c r="V16" s="39"/>
      <c r="AF16" s="40"/>
      <c r="AG16" s="41">
        <v>8927</v>
      </c>
      <c r="AH16" s="41">
        <v>8847</v>
      </c>
      <c r="AI16" s="16">
        <f t="shared" si="0"/>
        <v>0.99103842276240617</v>
      </c>
      <c r="AJ16" s="41">
        <v>9747</v>
      </c>
      <c r="AK16" s="16">
        <f t="shared" si="0"/>
        <v>1.0918561666853366</v>
      </c>
    </row>
    <row r="17" spans="1:37" ht="17.25" customHeight="1">
      <c r="A17" s="27">
        <v>18</v>
      </c>
      <c r="B17" s="109" t="s">
        <v>108</v>
      </c>
      <c r="C17" s="110" t="str">
        <f>E17</f>
        <v>{"searchDossierOrKlient":p.DossierName1,"resultType":"Dossiers"}</v>
      </c>
      <c r="E17" s="29" t="str">
        <f>F17&amp;G17&amp;H17&amp;I17&amp;J17&amp;K17&amp;L17&amp;M17&amp;N17&amp;O17&amp;P17&amp;Q17&amp;R17&amp;S17&amp;T17&amp;U17&amp;V17&amp;W17&amp;X17</f>
        <v>{"searchDossierOrKlient":p.DossierName1,"resultType":"Dossiers"}</v>
      </c>
      <c r="F17" s="31" t="s">
        <v>109</v>
      </c>
      <c r="G17" s="94" t="s">
        <v>104</v>
      </c>
      <c r="H17" s="31" t="s">
        <v>110</v>
      </c>
      <c r="I17" s="30" t="s">
        <v>111</v>
      </c>
      <c r="J17" s="31" t="s">
        <v>34</v>
      </c>
      <c r="R17" s="59"/>
      <c r="S17" s="58"/>
      <c r="T17" s="59"/>
      <c r="U17" s="58"/>
      <c r="V17" s="59"/>
      <c r="W17" s="58"/>
      <c r="X17" s="58"/>
      <c r="Y17" s="58"/>
      <c r="Z17" s="58"/>
      <c r="AA17" s="58"/>
      <c r="AB17" s="58"/>
      <c r="AC17" s="58"/>
      <c r="AD17" s="58"/>
      <c r="AE17" s="58"/>
      <c r="AF17" s="57"/>
      <c r="AG17" s="41">
        <v>5773</v>
      </c>
      <c r="AH17" s="41">
        <v>5789</v>
      </c>
      <c r="AI17" s="16">
        <f t="shared" si="0"/>
        <v>1.0027715226052312</v>
      </c>
      <c r="AJ17" s="41">
        <v>5769</v>
      </c>
      <c r="AK17" s="16">
        <f t="shared" si="0"/>
        <v>0.99930711934869221</v>
      </c>
    </row>
    <row r="18" spans="1:37" ht="17.25" customHeight="1">
      <c r="A18" s="27">
        <v>20</v>
      </c>
      <c r="B18" s="111" t="s">
        <v>113</v>
      </c>
      <c r="C18" s="29" t="str">
        <f t="shared" si="1"/>
        <v>{"vermieter":"Graber Immobilien","wohnungsgrosse":"4 Zimmer","mietkosten":1200,"nebenkosten":100}</v>
      </c>
      <c r="D18" s="41"/>
      <c r="E18" s="29" t="str">
        <f t="shared" si="2"/>
        <v>{"vermieter":"Graber Immobilien","wohnungsgrosse":"4 Zimmer","mietkosten":1200,"nebenkosten":100}</v>
      </c>
      <c r="F18" s="95" t="s">
        <v>114</v>
      </c>
      <c r="G18" s="112" t="s">
        <v>115</v>
      </c>
      <c r="H18" s="95" t="s">
        <v>116</v>
      </c>
      <c r="I18" s="41" t="s">
        <v>117</v>
      </c>
      <c r="J18" s="95" t="s">
        <v>118</v>
      </c>
      <c r="K18" s="41">
        <v>1200</v>
      </c>
      <c r="L18" s="95" t="s">
        <v>119</v>
      </c>
      <c r="M18" s="41">
        <v>100</v>
      </c>
      <c r="N18" s="95" t="s">
        <v>120</v>
      </c>
      <c r="O18" s="41"/>
      <c r="P18" s="95"/>
      <c r="Q18" s="41"/>
      <c r="R18" s="39"/>
      <c r="S18" s="38"/>
      <c r="T18" s="39"/>
      <c r="U18" s="38"/>
      <c r="V18" s="39"/>
      <c r="W18" s="38"/>
      <c r="X18" s="38"/>
      <c r="Y18" s="38"/>
      <c r="Z18" s="38"/>
      <c r="AA18" s="38"/>
      <c r="AB18" s="38"/>
      <c r="AC18" s="38"/>
      <c r="AD18" s="38"/>
      <c r="AE18" s="38"/>
      <c r="AF18" s="60"/>
      <c r="AG18" s="41">
        <v>3502</v>
      </c>
      <c r="AH18" s="41">
        <v>3410</v>
      </c>
      <c r="AI18" s="16">
        <f t="shared" si="0"/>
        <v>0.97372929754426041</v>
      </c>
      <c r="AJ18" s="41">
        <v>3637</v>
      </c>
      <c r="AK18" s="16">
        <f t="shared" si="0"/>
        <v>1.0385494003426614</v>
      </c>
    </row>
    <row r="19" spans="1:37" ht="17.25" customHeight="1">
      <c r="A19" s="27">
        <v>22</v>
      </c>
      <c r="B19" s="28" t="s">
        <v>121</v>
      </c>
      <c r="C19" s="29" t="str">
        <f t="shared" ca="1" si="1"/>
        <v>{"name":p.FamilyName7,"vorname":p.ManFirstName8,"geburtsdatum":p.BirthdayAdult7,"ahvNumber":p.AHVNumber25,"personInhausltVon":"28.07.2025","inHauslt":"Übernehmen","ereignis":"Eheschliessung"}</v>
      </c>
      <c r="D19" s="41"/>
      <c r="E19" s="29" t="str">
        <f t="shared" ca="1" si="2"/>
        <v>{"name":p.FamilyName7,"vorname":p.ManFirstName8,"geburtsdatum":p.BirthdayAdult7,"ahvNumber":p.AHVNumber25,"personInhausltVon":"28.07.2025","inHauslt":"Übernehmen","ereignis":"Eheschliessung"}</v>
      </c>
      <c r="F19" s="95" t="s">
        <v>48</v>
      </c>
      <c r="G19" s="30" t="str">
        <f>G6</f>
        <v>p.FamilyName7</v>
      </c>
      <c r="H19" s="95" t="s">
        <v>49</v>
      </c>
      <c r="I19" s="30" t="str">
        <f>H59</f>
        <v>p.ManFirstName8</v>
      </c>
      <c r="J19" s="95" t="s">
        <v>122</v>
      </c>
      <c r="K19" s="105" t="str">
        <f>J60</f>
        <v>p.BirthdayAdult7</v>
      </c>
      <c r="L19" s="95" t="s">
        <v>54</v>
      </c>
      <c r="M19" s="30" t="str">
        <f>I60</f>
        <v>p.AHVNumber25</v>
      </c>
      <c r="N19" s="95" t="s">
        <v>123</v>
      </c>
      <c r="O19" s="105" t="str">
        <f ca="1">TEXT(TEXT(TODAY()-100,"DD")&amp;"."&amp;TEXT(TODAY()-100,"MM")&amp;"."&amp;TEXT(TODAY()-100,"YYYY"),"DD.MM.YYYY")</f>
        <v>28.07.2025</v>
      </c>
      <c r="P19" s="95" t="s">
        <v>124</v>
      </c>
      <c r="Q19" s="41" t="s">
        <v>125</v>
      </c>
      <c r="R19" s="39" t="s">
        <v>126</v>
      </c>
      <c r="S19" s="38" t="s">
        <v>127</v>
      </c>
      <c r="T19" s="39" t="s">
        <v>34</v>
      </c>
      <c r="U19" s="38"/>
      <c r="V19" s="39"/>
      <c r="W19" s="38"/>
      <c r="X19" s="38"/>
      <c r="Y19" s="38"/>
      <c r="Z19" s="38"/>
      <c r="AA19" s="38"/>
      <c r="AB19" s="38"/>
      <c r="AC19" s="38"/>
      <c r="AD19" s="38"/>
      <c r="AE19" s="38"/>
      <c r="AF19" s="40"/>
      <c r="AG19" s="41">
        <v>2413</v>
      </c>
      <c r="AH19" s="41">
        <v>2207</v>
      </c>
      <c r="AI19" s="16">
        <f t="shared" si="0"/>
        <v>0.91462909241607959</v>
      </c>
      <c r="AJ19" s="41">
        <v>2250</v>
      </c>
      <c r="AK19" s="16">
        <f t="shared" si="0"/>
        <v>0.93244923331951923</v>
      </c>
    </row>
    <row r="20" spans="1:37" ht="17.25" customHeight="1">
      <c r="A20" s="27">
        <v>23</v>
      </c>
      <c r="B20" s="28" t="s">
        <v>121</v>
      </c>
      <c r="C20" s="29" t="str">
        <f t="shared" ca="1" si="1"/>
        <v>{"name":p.FamilyName7,"vorname":p.WomanFirstName7,"geburtsdatum":p.BirthdayAdult8,"ahvNumber":p.AHVNumber26,"personInhausltVon":"28.07.2025","inHauslt":"Übernehmen","ereignis":"Geburt"}</v>
      </c>
      <c r="D20" s="41"/>
      <c r="E20" s="29" t="str">
        <f t="shared" ca="1" si="2"/>
        <v>{"name":p.FamilyName7,"vorname":p.WomanFirstName7,"geburtsdatum":p.BirthdayAdult8,"ahvNumber":p.AHVNumber26,"personInhausltVon":"28.07.2025","inHauslt":"Übernehmen","ereignis":"Geburt"}</v>
      </c>
      <c r="F20" s="95" t="s">
        <v>48</v>
      </c>
      <c r="G20" s="30" t="str">
        <f>G19</f>
        <v>p.FamilyName7</v>
      </c>
      <c r="H20" s="95" t="s">
        <v>49</v>
      </c>
      <c r="I20" s="30" t="str">
        <f>H61</f>
        <v>p.WomanFirstName7</v>
      </c>
      <c r="J20" s="95" t="s">
        <v>122</v>
      </c>
      <c r="K20" s="105" t="str">
        <f>J61</f>
        <v>p.BirthdayAdult8</v>
      </c>
      <c r="L20" s="95" t="s">
        <v>54</v>
      </c>
      <c r="M20" s="30" t="str">
        <f>I61</f>
        <v>p.AHVNumber26</v>
      </c>
      <c r="N20" s="95" t="s">
        <v>123</v>
      </c>
      <c r="O20" s="105" t="str">
        <f ca="1">TEXT(TEXT(TODAY()-100,"DD")&amp;"."&amp;TEXT(TODAY()-100,"MM")&amp;"."&amp;TEXT(TODAY()-100,"YYYY"),"DD.MM.YYYY")</f>
        <v>28.07.2025</v>
      </c>
      <c r="P20" s="95" t="s">
        <v>124</v>
      </c>
      <c r="Q20" s="41" t="s">
        <v>125</v>
      </c>
      <c r="R20" s="39" t="s">
        <v>126</v>
      </c>
      <c r="S20" s="38" t="s">
        <v>128</v>
      </c>
      <c r="T20" s="39" t="s">
        <v>34</v>
      </c>
      <c r="U20" s="38"/>
      <c r="V20" s="39"/>
      <c r="W20" s="38"/>
      <c r="X20" s="38"/>
      <c r="Y20" s="38"/>
      <c r="Z20" s="38"/>
      <c r="AA20" s="38"/>
      <c r="AB20" s="38"/>
      <c r="AC20" s="38"/>
      <c r="AD20" s="38"/>
      <c r="AE20" s="38"/>
      <c r="AF20" s="40"/>
      <c r="AG20" s="41">
        <v>3208</v>
      </c>
      <c r="AH20" s="41">
        <v>2743</v>
      </c>
      <c r="AI20" s="16">
        <f t="shared" si="0"/>
        <v>0.85504987531172072</v>
      </c>
      <c r="AJ20" s="41">
        <v>3298</v>
      </c>
      <c r="AK20" s="16">
        <f t="shared" si="0"/>
        <v>1.0280548628428927</v>
      </c>
    </row>
    <row r="21" spans="1:37" ht="17.25" customHeight="1">
      <c r="A21" s="27">
        <v>24</v>
      </c>
      <c r="B21" s="28" t="s">
        <v>121</v>
      </c>
      <c r="C21" s="29" t="str">
        <f t="shared" ca="1" si="1"/>
        <v>{"name":p.FamilyName7,"vorname":p.GirlFirstName7,"geburtsdatum":p.BirthdayKid7,"ahvNumber":p.AHVNumber27,"personInhausltVon":"28.07.2025","inHauslt":"Übernehmen","ereignis":"Geburt"}</v>
      </c>
      <c r="D21" s="41"/>
      <c r="E21" s="29" t="str">
        <f t="shared" ca="1" si="2"/>
        <v>{"name":p.FamilyName7,"vorname":p.GirlFirstName7,"geburtsdatum":p.BirthdayKid7,"ahvNumber":p.AHVNumber27,"personInhausltVon":"28.07.2025","inHauslt":"Übernehmen","ereignis":"Geburt"}</v>
      </c>
      <c r="F21" s="95" t="s">
        <v>48</v>
      </c>
      <c r="G21" s="30" t="str">
        <f>G20</f>
        <v>p.FamilyName7</v>
      </c>
      <c r="H21" s="95" t="s">
        <v>49</v>
      </c>
      <c r="I21" s="30" t="str">
        <f>H62</f>
        <v>p.GirlFirstName7</v>
      </c>
      <c r="J21" s="95" t="s">
        <v>122</v>
      </c>
      <c r="K21" s="105" t="str">
        <f>J62</f>
        <v>p.BirthdayKid7</v>
      </c>
      <c r="L21" s="95" t="s">
        <v>54</v>
      </c>
      <c r="M21" s="30" t="str">
        <f>I62</f>
        <v>p.AHVNumber27</v>
      </c>
      <c r="N21" s="95" t="s">
        <v>123</v>
      </c>
      <c r="O21" s="105" t="str">
        <f ca="1">TEXT(TEXT(TODAY()-100,"DD")&amp;"."&amp;TEXT(TODAY()-100,"MM")&amp;"."&amp;TEXT(TODAY()-100,"YYYY"),"DD.MM.YYYY")</f>
        <v>28.07.2025</v>
      </c>
      <c r="P21" s="95" t="s">
        <v>124</v>
      </c>
      <c r="Q21" s="41" t="s">
        <v>125</v>
      </c>
      <c r="R21" s="39" t="s">
        <v>126</v>
      </c>
      <c r="S21" s="38" t="s">
        <v>128</v>
      </c>
      <c r="T21" s="39" t="s">
        <v>34</v>
      </c>
      <c r="U21" s="38"/>
      <c r="V21" s="39"/>
      <c r="W21" s="38"/>
      <c r="X21" s="38"/>
      <c r="Y21" s="38"/>
      <c r="Z21" s="38"/>
      <c r="AA21" s="38"/>
      <c r="AB21" s="38"/>
      <c r="AC21" s="38"/>
      <c r="AD21" s="38"/>
      <c r="AE21" s="38"/>
      <c r="AF21" s="49"/>
      <c r="AG21" s="41">
        <v>2738</v>
      </c>
      <c r="AH21" s="41">
        <v>2759</v>
      </c>
      <c r="AI21" s="16">
        <f t="shared" si="0"/>
        <v>1.0076698319941564</v>
      </c>
      <c r="AJ21" s="41">
        <v>2595</v>
      </c>
      <c r="AK21" s="16">
        <f t="shared" si="0"/>
        <v>0.94777209642074511</v>
      </c>
    </row>
    <row r="22" spans="1:37" ht="17.25" customHeight="1">
      <c r="A22" s="27">
        <v>25</v>
      </c>
      <c r="B22" s="111" t="s">
        <v>113</v>
      </c>
      <c r="C22" s="29" t="str">
        <f t="shared" si="1"/>
        <v>{"vermieter":"Graber Immobilien","wohnungsgrosse":"4 Zimmer","mietkosten":3000,"nebenkosten":300}</v>
      </c>
      <c r="D22" s="41"/>
      <c r="E22" s="29" t="str">
        <f t="shared" si="2"/>
        <v>{"vermieter":"Graber Immobilien","wohnungsgrosse":"4 Zimmer","mietkosten":3000,"nebenkosten":300}</v>
      </c>
      <c r="F22" s="95" t="s">
        <v>114</v>
      </c>
      <c r="G22" s="112" t="s">
        <v>115</v>
      </c>
      <c r="H22" s="95" t="s">
        <v>116</v>
      </c>
      <c r="I22" s="41" t="s">
        <v>117</v>
      </c>
      <c r="J22" s="95" t="s">
        <v>118</v>
      </c>
      <c r="K22" s="41">
        <v>3000</v>
      </c>
      <c r="L22" s="95" t="s">
        <v>119</v>
      </c>
      <c r="M22" s="41">
        <v>300</v>
      </c>
      <c r="N22" s="95" t="s">
        <v>120</v>
      </c>
      <c r="O22" s="41"/>
      <c r="P22" s="95"/>
      <c r="Q22" s="41"/>
      <c r="R22" s="39"/>
      <c r="S22" s="38"/>
      <c r="T22" s="39"/>
      <c r="U22" s="38"/>
      <c r="V22" s="39"/>
      <c r="W22" s="38"/>
      <c r="X22" s="38"/>
      <c r="Y22" s="38"/>
      <c r="Z22" s="38"/>
      <c r="AA22" s="38"/>
      <c r="AB22" s="38"/>
      <c r="AC22" s="38"/>
      <c r="AD22" s="38"/>
      <c r="AE22" s="38"/>
      <c r="AF22" s="40"/>
      <c r="AG22" s="41">
        <v>2971</v>
      </c>
      <c r="AH22" s="41">
        <v>3474</v>
      </c>
      <c r="AI22" s="16">
        <f t="shared" si="0"/>
        <v>1.1693032648939752</v>
      </c>
      <c r="AJ22" s="41">
        <v>3138</v>
      </c>
      <c r="AK22" s="16">
        <f t="shared" si="0"/>
        <v>1.0562100302928308</v>
      </c>
    </row>
    <row r="23" spans="1:37" ht="17.25" customHeight="1">
      <c r="A23" s="27">
        <v>26</v>
      </c>
      <c r="B23" s="113" t="s">
        <v>129</v>
      </c>
      <c r="C23" s="29" t="str">
        <f t="shared" si="1"/>
        <v>{"dossier":p.DossierName7,"klientschaft":`${p.FamilyName7}, ${p.ManFirstName7}`}</v>
      </c>
      <c r="D23" s="41"/>
      <c r="E23" s="29" t="str">
        <f t="shared" si="2"/>
        <v>{"dossier":p.DossierName7,"klientschaft":`${p.FamilyName7}, ${p.ManFirstName7}`}</v>
      </c>
      <c r="F23" s="114" t="s">
        <v>130</v>
      </c>
      <c r="G23" s="94" t="str">
        <f>G12</f>
        <v>p.DossierName7</v>
      </c>
      <c r="H23" s="95" t="s">
        <v>98</v>
      </c>
      <c r="I23" s="102" t="str">
        <f>"${"&amp;$G$5&amp;"}, ${"&amp;$I$5&amp;"}"</f>
        <v>${p.FamilyName7}, ${p.ManFirstName7}</v>
      </c>
      <c r="J23" s="95" t="s">
        <v>131</v>
      </c>
      <c r="K23" s="41"/>
      <c r="L23" s="95"/>
      <c r="M23" s="41"/>
      <c r="N23" s="95"/>
      <c r="O23" s="41"/>
      <c r="P23" s="95"/>
      <c r="Q23" s="41"/>
      <c r="R23" s="39"/>
      <c r="S23" s="38"/>
      <c r="T23" s="39"/>
      <c r="U23" s="38"/>
      <c r="V23" s="39"/>
      <c r="W23" s="38"/>
      <c r="X23" s="38"/>
      <c r="Y23" s="38"/>
      <c r="Z23" s="38"/>
      <c r="AA23" s="38"/>
      <c r="AB23" s="38"/>
      <c r="AC23" s="38"/>
      <c r="AD23" s="38"/>
      <c r="AE23" s="38"/>
      <c r="AF23" s="49"/>
      <c r="AG23" s="41">
        <v>4894</v>
      </c>
      <c r="AH23" s="41">
        <v>4833</v>
      </c>
      <c r="AI23" s="16">
        <f t="shared" si="0"/>
        <v>0.98753575807110749</v>
      </c>
      <c r="AJ23" s="41">
        <v>4899</v>
      </c>
      <c r="AK23" s="16">
        <f t="shared" si="0"/>
        <v>1.0010216591744994</v>
      </c>
    </row>
    <row r="24" spans="1:37" ht="17.25" customHeight="1">
      <c r="A24" s="27">
        <v>27</v>
      </c>
      <c r="B24" s="113" t="s">
        <v>132</v>
      </c>
      <c r="C24" s="29" t="str">
        <f t="shared" ca="1" si="1"/>
        <v>{"panelTitle":"Erwerbssituation / Einnahmen","zahlbarDurch":"BKW Energie AG","pensumm":"100","betrag":"1000","gueltigVon":"01.01.2024","gueltigBis":"31.12.2025","checkbox":"x"}</v>
      </c>
      <c r="D24" s="41"/>
      <c r="E24" s="29" t="str">
        <f t="shared" ca="1" si="2"/>
        <v>{"panelTitle":"Erwerbssituation / Einnahmen","zahlbarDurch":"BKW Energie AG","pensumm":"100","betrag":"1000","gueltigVon":"01.01.2024","gueltigBis":"31.12.2025","checkbox":"x"}</v>
      </c>
      <c r="F24" s="110" t="s">
        <v>133</v>
      </c>
      <c r="G24" s="41" t="s">
        <v>134</v>
      </c>
      <c r="H24" s="95" t="s">
        <v>135</v>
      </c>
      <c r="I24" s="41" t="s">
        <v>136</v>
      </c>
      <c r="J24" s="95" t="s">
        <v>137</v>
      </c>
      <c r="K24" s="41">
        <v>100</v>
      </c>
      <c r="L24" s="95" t="s">
        <v>138</v>
      </c>
      <c r="M24" s="41">
        <v>1000</v>
      </c>
      <c r="N24" s="95" t="s">
        <v>139</v>
      </c>
      <c r="O24" s="41" t="str">
        <f ca="1">"01.01."&amp;YEAR((TODAY()-366))</f>
        <v>01.01.2024</v>
      </c>
      <c r="P24" s="41" t="s">
        <v>140</v>
      </c>
      <c r="Q24" s="105" t="str">
        <f ca="1">"31.12."&amp;YEAR(TODAY())</f>
        <v>31.12.2025</v>
      </c>
      <c r="R24" s="39" t="s">
        <v>141</v>
      </c>
      <c r="S24" s="38" t="s">
        <v>142</v>
      </c>
      <c r="T24" s="39" t="s">
        <v>34</v>
      </c>
      <c r="U24" s="38"/>
      <c r="V24" s="39"/>
      <c r="W24" s="38"/>
      <c r="X24" s="38"/>
      <c r="Y24" s="38"/>
      <c r="Z24" s="38"/>
      <c r="AA24" s="38"/>
      <c r="AB24" s="38"/>
      <c r="AC24" s="38"/>
      <c r="AD24" s="38"/>
      <c r="AE24" s="38"/>
      <c r="AF24" s="40"/>
      <c r="AG24" s="41">
        <v>3432</v>
      </c>
      <c r="AH24" s="41">
        <v>3242</v>
      </c>
      <c r="AI24" s="16">
        <f t="shared" si="0"/>
        <v>0.94463869463869465</v>
      </c>
      <c r="AJ24" s="41">
        <v>3433</v>
      </c>
      <c r="AK24" s="16">
        <f t="shared" si="0"/>
        <v>1.0002913752913754</v>
      </c>
    </row>
    <row r="25" spans="1:37" ht="17.25" customHeight="1">
      <c r="B25" s="110" t="s">
        <v>143</v>
      </c>
      <c r="C25" s="108" t="str">
        <f t="shared" ca="1" si="1"/>
        <v>{"dossier":p.DossierName7,"klientschaft":`${p.FamilyName7}, ${p.ManFirstName7}`,"topMenu":"Erwerbseinkommen","subMenu":"Unselbständiges Erwerbseinkommen","zahlbarDurch":"Berner Schuldenberatung","pensumm":"30","13Ja":"x","betrag":"1500","gueltigVon":"0","gueltigBis":"31.12.2025","schweregrad":""}</v>
      </c>
      <c r="E25" s="29" t="str">
        <f ca="1">F25&amp;G25&amp;H25&amp;I25&amp;J25&amp;K25&amp;L25&amp;M25&amp;N25&amp;O25&amp;P25&amp;Q25&amp;R25&amp;S25&amp;T25&amp;U25&amp;V25&amp;W25&amp;X25&amp;Y25&amp;Z25&amp;AA25&amp;AB25&amp;AC25</f>
        <v>{"dossier":p.DossierName7,"klientschaft":`${p.FamilyName7}, ${p.ManFirstName7}`,"topMenu":"Erwerbseinkommen","subMenu":"Unselbständiges Erwerbseinkommen","zahlbarDurch":"Berner Schuldenberatung","pensumm":"30","13Ja":"x","betrag":"1500","gueltigVon":"0","gueltigBis":"31.12.2025","schweregrad":""}</v>
      </c>
      <c r="F25" s="95" t="s">
        <v>130</v>
      </c>
      <c r="G25" s="114" t="str">
        <f>G23</f>
        <v>p.DossierName7</v>
      </c>
      <c r="H25" s="95" t="s">
        <v>98</v>
      </c>
      <c r="I25" s="30" t="str">
        <f>I23</f>
        <v>${p.FamilyName7}, ${p.ManFirstName7}</v>
      </c>
      <c r="J25" s="110" t="s">
        <v>144</v>
      </c>
      <c r="K25" s="110" t="s">
        <v>145</v>
      </c>
      <c r="L25" s="95" t="s">
        <v>146</v>
      </c>
      <c r="M25" s="42" t="s">
        <v>147</v>
      </c>
      <c r="N25" s="95" t="s">
        <v>135</v>
      </c>
      <c r="O25" s="30" t="s">
        <v>148</v>
      </c>
      <c r="P25" s="95" t="s">
        <v>137</v>
      </c>
      <c r="Q25" s="103">
        <v>30</v>
      </c>
      <c r="R25" s="39" t="s">
        <v>149</v>
      </c>
      <c r="S25" s="61" t="s">
        <v>142</v>
      </c>
      <c r="T25" s="39" t="s">
        <v>138</v>
      </c>
      <c r="U25" s="61">
        <v>1500</v>
      </c>
      <c r="V25" s="39" t="s">
        <v>139</v>
      </c>
      <c r="W25" s="61">
        <f>W24</f>
        <v>0</v>
      </c>
      <c r="X25" s="39" t="s">
        <v>140</v>
      </c>
      <c r="Y25" s="62" t="str">
        <f ca="1">"31.12."&amp;YEAR(TODAY())</f>
        <v>31.12.2025</v>
      </c>
      <c r="Z25" s="63" t="s">
        <v>150</v>
      </c>
      <c r="AA25" s="63"/>
      <c r="AB25" s="30" t="s">
        <v>34</v>
      </c>
      <c r="AF25" s="30"/>
      <c r="AI25" s="16" t="e">
        <f t="shared" si="0"/>
        <v>#DIV/0!</v>
      </c>
      <c r="AK25" s="16" t="e">
        <f t="shared" si="0"/>
        <v>#DIV/0!</v>
      </c>
    </row>
    <row r="26" spans="1:37" ht="17.25" customHeight="1">
      <c r="A26" s="27">
        <v>28</v>
      </c>
      <c r="B26" s="113" t="s">
        <v>108</v>
      </c>
      <c r="C26" s="29" t="str">
        <f>E26</f>
        <v>{"searchDossierOrKlient":p.DossierName1,"resultType":"Dossiers"}</v>
      </c>
      <c r="E26" s="29" t="str">
        <f>F26&amp;G26&amp;H26&amp;I26&amp;J26&amp;K26&amp;L26&amp;M26&amp;N26&amp;O26&amp;P26&amp;Q26&amp;R26&amp;S26&amp;T26&amp;U26&amp;V26&amp;W26&amp;X26</f>
        <v>{"searchDossierOrKlient":p.DossierName1,"resultType":"Dossiers"}</v>
      </c>
      <c r="F26" s="31" t="s">
        <v>109</v>
      </c>
      <c r="G26" s="105" t="s">
        <v>104</v>
      </c>
      <c r="H26" s="31" t="s">
        <v>110</v>
      </c>
      <c r="I26" s="30" t="s">
        <v>111</v>
      </c>
      <c r="J26" s="31" t="s">
        <v>34</v>
      </c>
      <c r="R26" s="64"/>
      <c r="S26" s="52"/>
      <c r="T26" s="64"/>
      <c r="U26" s="52"/>
      <c r="V26" s="64"/>
      <c r="W26" s="52"/>
      <c r="X26" s="52"/>
      <c r="Y26" s="52"/>
      <c r="Z26" s="52"/>
      <c r="AA26" s="52"/>
      <c r="AB26" s="52"/>
      <c r="AC26" s="52"/>
      <c r="AD26" s="52"/>
      <c r="AE26" s="52"/>
      <c r="AF26" s="49"/>
      <c r="AG26" s="41">
        <v>4993</v>
      </c>
      <c r="AH26" s="41">
        <v>4923</v>
      </c>
      <c r="AI26" s="16">
        <f t="shared" si="0"/>
        <v>0.98598037252153015</v>
      </c>
      <c r="AJ26" s="41">
        <v>4861</v>
      </c>
      <c r="AK26" s="16">
        <f t="shared" si="0"/>
        <v>0.97356298818345688</v>
      </c>
    </row>
    <row r="27" spans="1:37" ht="17.25" customHeight="1">
      <c r="A27" s="27">
        <v>30</v>
      </c>
      <c r="B27" s="28" t="s">
        <v>151</v>
      </c>
      <c r="C27" s="29" t="str">
        <f ca="1">E27</f>
        <v>{"entscheidVom":"05.11.2025","begrundung":"Gar keine Begründung","unterstutzungab":"01.11.2025"}</v>
      </c>
      <c r="E27" s="29" t="str">
        <f ca="1">F27&amp;G27&amp;H27&amp;I27&amp;J27&amp;K27&amp;L27&amp;M27&amp;N27&amp;O27&amp;P27&amp;Q27&amp;R27&amp;S27&amp;T27&amp;U27&amp;V27&amp;W27&amp;X27</f>
        <v>{"entscheidVom":"05.11.2025","begrundung":"Gar keine Begründung","unterstutzungab":"01.11.2025"}</v>
      </c>
      <c r="F27" s="31" t="s">
        <v>152</v>
      </c>
      <c r="G27" s="105" t="str">
        <f ca="1">TEXT(TEXT(TODAY(),"DD")&amp;"."&amp;TEXT(TODAY(),"MM")&amp;"."&amp;TEXT(TODAY(),"YYYY"),"DD.MM.YYYY")</f>
        <v>05.11.2025</v>
      </c>
      <c r="H27" s="31" t="s">
        <v>153</v>
      </c>
      <c r="I27" s="30" t="s">
        <v>154</v>
      </c>
      <c r="J27" s="31" t="s">
        <v>155</v>
      </c>
      <c r="K27" s="105" t="str">
        <f ca="1">TEXT(TEXT(1,"DD")&amp;"."&amp;TEXT(TODAY(),"MM")&amp;"."&amp;TEXT(TODAY(),"YYYY"),"DD.MM.YYYY")</f>
        <v>01.11.2025</v>
      </c>
      <c r="L27" s="31" t="s">
        <v>34</v>
      </c>
      <c r="R27" s="64"/>
      <c r="S27" s="52"/>
      <c r="T27" s="64"/>
      <c r="U27" s="52"/>
      <c r="V27" s="64"/>
      <c r="W27" s="52"/>
      <c r="X27" s="52"/>
      <c r="Y27" s="52"/>
      <c r="Z27" s="52"/>
      <c r="AA27" s="52"/>
      <c r="AB27" s="52"/>
      <c r="AC27" s="52"/>
      <c r="AD27" s="52"/>
      <c r="AE27" s="52"/>
      <c r="AF27" s="60"/>
      <c r="AG27" s="41">
        <v>10626</v>
      </c>
      <c r="AH27" s="41">
        <v>10634</v>
      </c>
      <c r="AI27" s="16">
        <f t="shared" si="0"/>
        <v>1.0007528703180877</v>
      </c>
      <c r="AJ27" s="41">
        <v>10692</v>
      </c>
      <c r="AK27" s="16">
        <f t="shared" si="0"/>
        <v>1.0062111801242235</v>
      </c>
    </row>
    <row r="28" spans="1:37" ht="17.25" customHeight="1">
      <c r="A28" s="27">
        <v>32</v>
      </c>
      <c r="B28" s="28" t="s">
        <v>156</v>
      </c>
      <c r="C28" s="29" t="str">
        <f ca="1">E28</f>
        <v>{"ubernahmeWohnkostenCFH":"100","uebernahmeWohnkostenVon":"01.11.2025","uebernahmeWohnkostenBis":"27.5.2026","uebernahemBegruendung":"Die Wohnungen sind teuer hier"}</v>
      </c>
      <c r="E28" s="29" t="str">
        <f ca="1">F28&amp;G28&amp;H28&amp;I28&amp;J28&amp;K28&amp;L28&amp;M28&amp;N28&amp;O28&amp;P28&amp;Q28&amp;R28&amp;S28&amp;T28&amp;U28&amp;V28&amp;W28&amp;X28</f>
        <v>{"ubernahmeWohnkostenCFH":"100","uebernahmeWohnkostenVon":"01.11.2025","uebernahmeWohnkostenBis":"27.5.2026","uebernahemBegruendung":"Die Wohnungen sind teuer hier"}</v>
      </c>
      <c r="F28" s="115" t="s">
        <v>157</v>
      </c>
      <c r="G28" s="30">
        <v>100</v>
      </c>
      <c r="H28" s="30" t="s">
        <v>158</v>
      </c>
      <c r="I28" s="105" t="str">
        <f ca="1">"01."&amp;MONTH(TODAY())&amp;"."&amp;YEAR(TODAY())</f>
        <v>01.11.2025</v>
      </c>
      <c r="J28" s="30" t="s">
        <v>159</v>
      </c>
      <c r="K28" s="105" t="str">
        <f ca="1">"27."&amp;MONTH(TODAY()+180)&amp;"."&amp;YEAR(TODAY()+180)</f>
        <v>27.5.2026</v>
      </c>
      <c r="L28" s="31" t="s">
        <v>160</v>
      </c>
      <c r="M28" s="30" t="s">
        <v>161</v>
      </c>
      <c r="N28" s="31" t="s">
        <v>34</v>
      </c>
      <c r="P28" s="30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65"/>
      <c r="AG28" s="41">
        <v>1630</v>
      </c>
      <c r="AH28" s="41">
        <v>1369</v>
      </c>
      <c r="AI28" s="25"/>
      <c r="AJ28" s="41">
        <v>1982</v>
      </c>
      <c r="AK28" s="25"/>
    </row>
    <row r="29" spans="1:37" s="66" customFormat="1" ht="17.25" customHeight="1">
      <c r="A29" s="116"/>
      <c r="B29" s="117" t="s">
        <v>163</v>
      </c>
      <c r="C29" s="118" t="str">
        <f t="shared" ref="C29:C37" ca="1" si="3">E29</f>
        <v>{"lEvonDate":"05.11.2025","lEbisDate":"05.11.2026","checkStatus":"In Bearbeitung"}</v>
      </c>
      <c r="E29" s="118" t="str">
        <f t="shared" ref="E29:E41" ca="1" si="4">F29&amp;G29&amp;H29&amp;I29&amp;J29&amp;K29&amp;L29&amp;M29&amp;N29&amp;O29&amp;P29&amp;Q29&amp;R29&amp;S29&amp;T29&amp;U29&amp;V29&amp;W29&amp;X29</f>
        <v>{"lEvonDate":"05.11.2025","lEbisDate":"05.11.2026","checkStatus":"In Bearbeitung"}</v>
      </c>
      <c r="F29" s="66" t="s">
        <v>164</v>
      </c>
      <c r="G29" s="119" t="str">
        <f ca="1">TEXT(TEXT(TODAY(),"DD")&amp;"."&amp;TEXT(TODAY(),"MM")&amp;"."&amp;TEXT(TODAY(),"YYYY"),"DD.MM.YYYY")</f>
        <v>05.11.2025</v>
      </c>
      <c r="H29" s="66" t="s">
        <v>165</v>
      </c>
      <c r="I29" s="119" t="str">
        <f ca="1">TEXT(TEXT(TODAY(),"DD")&amp;"."&amp;TEXT(TODAY()+366,"MM")&amp;"."&amp;TEXT(TODAY()+366,"YYYY"),"DD.MM.YYYY")</f>
        <v>05.11.2026</v>
      </c>
      <c r="J29" s="66" t="s">
        <v>101</v>
      </c>
      <c r="K29" s="66" t="s">
        <v>102</v>
      </c>
      <c r="L29" s="66" t="s">
        <v>34</v>
      </c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8"/>
      <c r="AI29" s="16" t="e">
        <f>AH29/(#REF!)</f>
        <v>#REF!</v>
      </c>
      <c r="AK29" s="16" t="e">
        <f>AJ29/(#REF!)</f>
        <v>#REF!</v>
      </c>
    </row>
    <row r="30" spans="1:37" s="69" customFormat="1" ht="17.25" customHeight="1">
      <c r="A30" s="116"/>
      <c r="B30" s="69" t="s">
        <v>21</v>
      </c>
      <c r="C30" s="120" t="s">
        <v>162</v>
      </c>
      <c r="E30" s="121"/>
      <c r="F30" s="121"/>
      <c r="G30" s="122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68"/>
      <c r="AI30" s="16" t="e">
        <f>AH30/(#REF!)</f>
        <v>#REF!</v>
      </c>
      <c r="AK30" s="16" t="e">
        <f>AJ30/(#REF!)</f>
        <v>#REF!</v>
      </c>
    </row>
    <row r="31" spans="1:37" s="66" customFormat="1" ht="17.25" customHeight="1">
      <c r="A31" s="116"/>
      <c r="B31" s="117" t="s">
        <v>103</v>
      </c>
      <c r="C31" s="118" t="str">
        <f t="shared" si="3"/>
        <v>{"username":"Bern.Sachbearbeiterin@diartis.ch","password":"XXxa22?pdTA66-S@"}</v>
      </c>
      <c r="E31" s="118" t="str">
        <f t="shared" si="4"/>
        <v>{"username":"Bern.Sachbearbeiterin@diartis.ch","password":"XXxa22?pdTA66-S@"}</v>
      </c>
      <c r="F31" s="66" t="s">
        <v>27</v>
      </c>
      <c r="G31" s="123" t="s">
        <v>28</v>
      </c>
      <c r="H31" s="66" t="s">
        <v>29</v>
      </c>
      <c r="I31" s="124" t="s">
        <v>30</v>
      </c>
      <c r="J31" s="66" t="s">
        <v>34</v>
      </c>
      <c r="K31" s="119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71"/>
      <c r="AI31" s="16" t="e">
        <f>AH31/(#REF!)</f>
        <v>#REF!</v>
      </c>
      <c r="AK31" s="16" t="e">
        <f>AJ31/(#REF!)</f>
        <v>#REF!</v>
      </c>
    </row>
    <row r="32" spans="1:37" s="69" customFormat="1" ht="17.25" customHeight="1">
      <c r="A32" s="116"/>
      <c r="B32" s="69" t="s">
        <v>21</v>
      </c>
      <c r="C32" s="120" t="s">
        <v>162</v>
      </c>
      <c r="E32" s="121"/>
      <c r="F32" s="121"/>
      <c r="G32" s="122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1"/>
      <c r="AI32" s="16" t="e">
        <f>AH32/(#REF!)</f>
        <v>#REF!</v>
      </c>
      <c r="AK32" s="16" t="e">
        <f>AJ32/(#REF!)</f>
        <v>#REF!</v>
      </c>
    </row>
    <row r="33" spans="1:37" s="66" customFormat="1" ht="17.25" customHeight="1">
      <c r="A33" s="116"/>
      <c r="B33" s="117" t="s">
        <v>166</v>
      </c>
      <c r="C33" s="118" t="str">
        <f>E33</f>
        <v>{"dossier":p.DossierName1,"buttonName":"Prüfung OK","checkStatus":"In Bearbeitung"}</v>
      </c>
      <c r="E33" s="118" t="str">
        <f t="shared" si="4"/>
        <v>{"dossier":p.DossierName1,"buttonName":"Prüfung OK","checkStatus":"In Bearbeitung"}</v>
      </c>
      <c r="F33" s="66" t="s">
        <v>130</v>
      </c>
      <c r="G33" s="125" t="s">
        <v>104</v>
      </c>
      <c r="H33" s="66" t="s">
        <v>167</v>
      </c>
      <c r="I33" s="66" t="s">
        <v>168</v>
      </c>
      <c r="J33" s="66" t="s">
        <v>101</v>
      </c>
      <c r="K33" s="66" t="s">
        <v>102</v>
      </c>
      <c r="L33" s="66" t="s">
        <v>34</v>
      </c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71"/>
      <c r="AI33" s="16" t="e">
        <f>AH33/(#REF!)</f>
        <v>#REF!</v>
      </c>
      <c r="AK33" s="16" t="e">
        <f>AJ33/(#REF!)</f>
        <v>#REF!</v>
      </c>
    </row>
    <row r="34" spans="1:37" s="66" customFormat="1" ht="17.25" customHeight="1">
      <c r="A34" s="116"/>
      <c r="B34" s="117" t="s">
        <v>103</v>
      </c>
      <c r="C34" s="118" t="str">
        <f t="shared" si="3"/>
        <v>{"username":"aventis-gemeinde-ma@diartis.ch","password":"#xFymiADPk7wJG/FWMz"}</v>
      </c>
      <c r="E34" s="118" t="str">
        <f t="shared" si="4"/>
        <v>{"username":"aventis-gemeinde-ma@diartis.ch","password":"#xFymiADPk7wJG/FWMz"}</v>
      </c>
      <c r="F34" s="66" t="s">
        <v>27</v>
      </c>
      <c r="G34" s="123" t="s">
        <v>169</v>
      </c>
      <c r="H34" s="66" t="s">
        <v>29</v>
      </c>
      <c r="I34" s="124" t="s">
        <v>170</v>
      </c>
      <c r="J34" s="66" t="s">
        <v>34</v>
      </c>
      <c r="K34" s="119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71"/>
      <c r="AI34" s="16" t="e">
        <f>AH34/(#REF!)</f>
        <v>#REF!</v>
      </c>
      <c r="AK34" s="16" t="e">
        <f>AJ34/(#REF!)</f>
        <v>#REF!</v>
      </c>
    </row>
    <row r="35" spans="1:37" s="69" customFormat="1" ht="17.25" customHeight="1">
      <c r="A35" s="116"/>
      <c r="B35" s="69" t="s">
        <v>21</v>
      </c>
      <c r="C35" s="120" t="s">
        <v>171</v>
      </c>
      <c r="E35" s="121"/>
      <c r="F35" s="121"/>
      <c r="G35" s="122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1"/>
      <c r="AI35" s="16" t="e">
        <f>AH35/(#REF!)</f>
        <v>#REF!</v>
      </c>
      <c r="AK35" s="16" t="e">
        <f>AJ35/(#REF!)</f>
        <v>#REF!</v>
      </c>
    </row>
    <row r="36" spans="1:37" s="66" customFormat="1" ht="17.25" customHeight="1">
      <c r="A36" s="116"/>
      <c r="B36" s="117" t="s">
        <v>166</v>
      </c>
      <c r="C36" s="118" t="str">
        <f t="shared" si="3"/>
        <v>{"dossier":p.DossierName1,"buttonName":"Bewilligen","checkStatus":"Bewilligt"}</v>
      </c>
      <c r="E36" s="118" t="str">
        <f t="shared" si="4"/>
        <v>{"dossier":p.DossierName1,"buttonName":"Bewilligen","checkStatus":"Bewilligt"}</v>
      </c>
      <c r="F36" s="66" t="s">
        <v>130</v>
      </c>
      <c r="G36" s="125" t="s">
        <v>104</v>
      </c>
      <c r="H36" s="66" t="s">
        <v>167</v>
      </c>
      <c r="I36" s="66" t="s">
        <v>105</v>
      </c>
      <c r="J36" s="66" t="s">
        <v>101</v>
      </c>
      <c r="K36" s="66" t="s">
        <v>106</v>
      </c>
      <c r="L36" s="66" t="s">
        <v>34</v>
      </c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71"/>
      <c r="AI36" s="16" t="e">
        <f>AH36/(#REF!)</f>
        <v>#REF!</v>
      </c>
      <c r="AK36" s="16" t="e">
        <f>AJ36/(#REF!)</f>
        <v>#REF!</v>
      </c>
    </row>
    <row r="37" spans="1:37" s="66" customFormat="1" ht="17.25" customHeight="1">
      <c r="A37" s="116"/>
      <c r="B37" s="117" t="s">
        <v>103</v>
      </c>
      <c r="C37" s="118" t="str">
        <f t="shared" si="3"/>
        <v>{"username":"Bern.Sachbearbeiterin@diartis.ch","password":"XXxa22?pdTA66-S@"}</v>
      </c>
      <c r="E37" s="118" t="str">
        <f t="shared" si="4"/>
        <v>{"username":"Bern.Sachbearbeiterin@diartis.ch","password":"XXxa22?pdTA66-S@"}</v>
      </c>
      <c r="F37" s="66" t="s">
        <v>27</v>
      </c>
      <c r="G37" s="123" t="s">
        <v>28</v>
      </c>
      <c r="H37" s="66" t="s">
        <v>29</v>
      </c>
      <c r="I37" s="124" t="s">
        <v>30</v>
      </c>
      <c r="J37" s="66" t="s">
        <v>34</v>
      </c>
      <c r="K37" s="119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71"/>
      <c r="AI37" s="16" t="e">
        <f>AH37/(#REF!)</f>
        <v>#REF!</v>
      </c>
      <c r="AK37" s="16" t="e">
        <f>AJ37/(#REF!)</f>
        <v>#REF!</v>
      </c>
    </row>
    <row r="38" spans="1:37" s="66" customFormat="1" ht="17.25" customHeight="1">
      <c r="A38" s="116"/>
      <c r="B38" s="126" t="s">
        <v>108</v>
      </c>
      <c r="C38" s="118" t="str">
        <f>E38</f>
        <v>{"searchDossierOrKlient":p.DossierName1,"resultType":"Dossiers"}</v>
      </c>
      <c r="E38" s="118" t="str">
        <f>F38&amp;G38&amp;H38&amp;I38&amp;J38&amp;K38&amp;L38&amp;M38&amp;N38&amp;O38&amp;P38&amp;Q38&amp;R38&amp;S38&amp;T38&amp;U38&amp;V38&amp;W38&amp;X38</f>
        <v>{"searchDossierOrKlient":p.DossierName1,"resultType":"Dossiers"}</v>
      </c>
      <c r="F38" s="66" t="s">
        <v>109</v>
      </c>
      <c r="G38" s="119" t="str">
        <f>G36</f>
        <v>p.DossierName1</v>
      </c>
      <c r="H38" s="66" t="s">
        <v>110</v>
      </c>
      <c r="I38" s="66" t="s">
        <v>111</v>
      </c>
      <c r="J38" s="66" t="s">
        <v>34</v>
      </c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71"/>
      <c r="AI38" s="16" t="e">
        <f>AH38/(#REF!)</f>
        <v>#REF!</v>
      </c>
      <c r="AK38" s="16" t="e">
        <f>AJ38/(#REF!)</f>
        <v>#REF!</v>
      </c>
    </row>
    <row r="39" spans="1:37" s="66" customFormat="1" ht="17.25" customHeight="1">
      <c r="A39" s="116"/>
      <c r="B39" s="117" t="s">
        <v>172</v>
      </c>
      <c r="C39" s="118" t="str">
        <f>E39</f>
        <v>{"verwendungPeriode":"November 2024,Oktober 2024","status":"Zu bezahlen"}</v>
      </c>
      <c r="E39" s="118" t="s">
        <v>173</v>
      </c>
      <c r="F39" s="66" t="s">
        <v>174</v>
      </c>
      <c r="G39" s="127" t="s">
        <v>175</v>
      </c>
      <c r="I39" s="128"/>
      <c r="J39" s="66" t="s">
        <v>176</v>
      </c>
      <c r="K39" s="119" t="s">
        <v>177</v>
      </c>
      <c r="L39" s="118" t="s">
        <v>178</v>
      </c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8"/>
      <c r="AI39" s="16" t="e">
        <f>AH39/(#REF!)</f>
        <v>#REF!</v>
      </c>
      <c r="AK39" s="16" t="e">
        <f>AJ39/(#REF!)</f>
        <v>#REF!</v>
      </c>
    </row>
    <row r="40" spans="1:37" s="72" customFormat="1" ht="17.25" customHeight="1">
      <c r="A40" s="129"/>
      <c r="B40" s="78" t="s">
        <v>179</v>
      </c>
      <c r="C40" s="130" t="str">
        <f>E40</f>
        <v>{"haftungsType":"Einseitige Solidarhaftung erfassen","haftungDurch":`${p.FamilyName7}, ${p.ManFirstName7}`,"haftungVon":"01.01.2024","haftungBis":"31.12.2024","haftungFuer":`${p.FamilyName7}, ${p.ManFirstName8}`,"person1":"","person2":""}</v>
      </c>
      <c r="E40" s="130" t="str">
        <f t="shared" si="4"/>
        <v>{"haftungsType":"Einseitige Solidarhaftung erfassen","haftungDurch":`${p.FamilyName7}, ${p.ManFirstName7}`,"haftungVon":"01.01.2024","haftungBis":"31.12.2024","haftungFuer":`${p.FamilyName7}, ${p.ManFirstName8}`,"person1":"","person2":""}</v>
      </c>
      <c r="F40" s="72" t="s">
        <v>180</v>
      </c>
      <c r="G40" s="72" t="s">
        <v>181</v>
      </c>
      <c r="H40" s="72" t="s">
        <v>182</v>
      </c>
      <c r="I40" s="72" t="str">
        <f>I23</f>
        <v>${p.FamilyName7}, ${p.ManFirstName7}</v>
      </c>
      <c r="J40" s="72" t="s">
        <v>183</v>
      </c>
      <c r="K40" s="72" t="s">
        <v>184</v>
      </c>
      <c r="L40" s="72" t="s">
        <v>185</v>
      </c>
      <c r="M40" s="131" t="s">
        <v>186</v>
      </c>
      <c r="N40" s="72" t="s">
        <v>187</v>
      </c>
      <c r="O40" s="72" t="str">
        <f>"${"&amp;$G$5&amp;"}, ${"&amp;$H$59&amp;"}"</f>
        <v>${p.FamilyName7}, ${p.ManFirstName8}</v>
      </c>
      <c r="P40" s="72" t="s">
        <v>188</v>
      </c>
      <c r="Q40" s="132"/>
      <c r="R40" s="74" t="s">
        <v>189</v>
      </c>
      <c r="S40" s="74"/>
      <c r="T40" s="74" t="s">
        <v>34</v>
      </c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5"/>
      <c r="AI40" s="16" t="e">
        <f>AH40/(#REF!)</f>
        <v>#REF!</v>
      </c>
      <c r="AK40" s="16" t="e">
        <f>AJ40/(#REF!)</f>
        <v>#REF!</v>
      </c>
    </row>
    <row r="41" spans="1:37" s="72" customFormat="1" ht="17.25" customHeight="1">
      <c r="A41" s="129"/>
      <c r="B41" s="78" t="s">
        <v>179</v>
      </c>
      <c r="C41" s="130" t="str">
        <f>E41</f>
        <v>{"haftungsType":"Einzelhaftung erfassen","haftungDurch":`${p.FamilyName7}, ${p.ManFirstName7}`,"haftungVon":"01.01.2024","haftungBis":"31.12.2024","haftungFuer":`${p.FamilyName7}, ${p.WomanFirstName7}`,"person1":"","person2":""}</v>
      </c>
      <c r="E41" s="130" t="str">
        <f t="shared" si="4"/>
        <v>{"haftungsType":"Einzelhaftung erfassen","haftungDurch":`${p.FamilyName7}, ${p.ManFirstName7}`,"haftungVon":"01.01.2024","haftungBis":"31.12.2024","haftungFuer":`${p.FamilyName7}, ${p.WomanFirstName7}`,"person1":"","person2":""}</v>
      </c>
      <c r="F41" s="72" t="s">
        <v>180</v>
      </c>
      <c r="G41" s="72" t="s">
        <v>190</v>
      </c>
      <c r="H41" s="72" t="s">
        <v>182</v>
      </c>
      <c r="I41" s="72" t="str">
        <f>I23</f>
        <v>${p.FamilyName7}, ${p.ManFirstName7}</v>
      </c>
      <c r="J41" s="72" t="s">
        <v>183</v>
      </c>
      <c r="K41" s="72" t="s">
        <v>184</v>
      </c>
      <c r="L41" s="72" t="s">
        <v>185</v>
      </c>
      <c r="M41" s="131" t="s">
        <v>186</v>
      </c>
      <c r="N41" s="72" t="s">
        <v>187</v>
      </c>
      <c r="O41" s="72" t="str">
        <f>"${"&amp;$G$5&amp;"}, ${"&amp;$H$61&amp;"}"</f>
        <v>${p.FamilyName7}, ${p.WomanFirstName7}</v>
      </c>
      <c r="P41" s="72" t="s">
        <v>188</v>
      </c>
      <c r="Q41" s="132"/>
      <c r="R41" s="74" t="s">
        <v>189</v>
      </c>
      <c r="S41" s="74"/>
      <c r="T41" s="74" t="s">
        <v>34</v>
      </c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5"/>
      <c r="AI41" s="16" t="e">
        <f>AH41/(#REF!)</f>
        <v>#REF!</v>
      </c>
      <c r="AK41" s="16" t="e">
        <f>AJ41/(#REF!)</f>
        <v>#REF!</v>
      </c>
    </row>
    <row r="42" spans="1:37" s="76" customFormat="1" ht="17.25" customHeight="1">
      <c r="A42" s="129"/>
      <c r="B42" s="76" t="s">
        <v>21</v>
      </c>
      <c r="C42" s="133" t="s">
        <v>112</v>
      </c>
      <c r="E42" s="134"/>
      <c r="F42" s="134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5"/>
      <c r="AI42" s="16" t="e">
        <f>AH42/(#REF!)</f>
        <v>#REF!</v>
      </c>
      <c r="AK42" s="16" t="e">
        <f>AJ42/(#REF!)</f>
        <v>#REF!</v>
      </c>
    </row>
    <row r="43" spans="1:37" s="78" customFormat="1" ht="17.25" customHeight="1">
      <c r="A43" s="129"/>
      <c r="B43" s="78" t="s">
        <v>191</v>
      </c>
      <c r="C43" s="135"/>
      <c r="E43" s="135"/>
      <c r="M43" s="136"/>
      <c r="Q43" s="137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5"/>
      <c r="AI43" s="16" t="e">
        <f>AH43/(#REF!)</f>
        <v>#REF!</v>
      </c>
      <c r="AK43" s="16" t="e">
        <f>AJ43/(#REF!)</f>
        <v>#REF!</v>
      </c>
    </row>
    <row r="44" spans="1:37" s="76" customFormat="1" ht="17.25" customHeight="1">
      <c r="A44" s="129"/>
      <c r="B44" s="76" t="s">
        <v>21</v>
      </c>
      <c r="C44" s="133" t="s">
        <v>112</v>
      </c>
      <c r="E44" s="134"/>
      <c r="F44" s="134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5"/>
      <c r="AI44" s="16" t="e">
        <f>AH44/(#REF!)</f>
        <v>#REF!</v>
      </c>
      <c r="AK44" s="16" t="e">
        <f>AJ44/(#REF!)</f>
        <v>#REF!</v>
      </c>
    </row>
    <row r="45" spans="1:37" s="72" customFormat="1" ht="17.25" customHeight="1">
      <c r="A45" s="129"/>
      <c r="B45" s="76" t="s">
        <v>108</v>
      </c>
      <c r="C45" s="130" t="str">
        <f>E45</f>
        <v>{"searchDossierOrKlient":p.DossierName1,"resultType":"Dossiers"}</v>
      </c>
      <c r="E45" s="130" t="str">
        <f>F45&amp;G45&amp;H45&amp;I45&amp;J45&amp;K45&amp;L45&amp;M45&amp;N45&amp;O45&amp;P45&amp;Q45&amp;R45&amp;S45&amp;T45&amp;U45&amp;V45&amp;W45&amp;X45</f>
        <v>{"searchDossierOrKlient":p.DossierName1,"resultType":"Dossiers"}</v>
      </c>
      <c r="F45" s="72" t="s">
        <v>109</v>
      </c>
      <c r="G45" s="138" t="s">
        <v>104</v>
      </c>
      <c r="H45" s="72" t="s">
        <v>110</v>
      </c>
      <c r="I45" s="72" t="s">
        <v>111</v>
      </c>
      <c r="J45" s="72" t="s">
        <v>34</v>
      </c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5"/>
      <c r="AI45" s="16" t="e">
        <f>AH45/(#REF!)</f>
        <v>#REF!</v>
      </c>
      <c r="AK45" s="16" t="e">
        <f>AJ45/(#REF!)</f>
        <v>#REF!</v>
      </c>
    </row>
    <row r="46" spans="1:37" s="72" customFormat="1" ht="17.25" customHeight="1">
      <c r="A46" s="129"/>
      <c r="B46" s="135" t="s">
        <v>192</v>
      </c>
      <c r="C46" s="130" t="str">
        <f>E46</f>
        <v>{"dossierInstitution":p.DossierName1,"freigegebeneZahlungen":"6"}</v>
      </c>
      <c r="E46" s="130" t="str">
        <f>F46&amp;G46&amp;H46&amp;I46&amp;J46&amp;K46&amp;L46&amp;M46&amp;N46&amp;O46&amp;P46&amp;Q46&amp;R46&amp;S46&amp;T46&amp;U46&amp;V46&amp;W46&amp;X46</f>
        <v>{"dossierInstitution":p.DossierName1,"freigegebeneZahlungen":"6"}</v>
      </c>
      <c r="F46" s="130" t="s">
        <v>97</v>
      </c>
      <c r="G46" s="138" t="s">
        <v>104</v>
      </c>
      <c r="H46" s="72" t="s">
        <v>193</v>
      </c>
      <c r="I46" s="72">
        <v>6</v>
      </c>
      <c r="J46" s="72" t="s">
        <v>34</v>
      </c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5"/>
      <c r="AI46" s="16" t="e">
        <f>AH46/(#REF!)</f>
        <v>#REF!</v>
      </c>
      <c r="AK46" s="16" t="e">
        <f>AJ46/(#REF!)</f>
        <v>#REF!</v>
      </c>
    </row>
    <row r="47" spans="1:37" s="72" customFormat="1" ht="17.25" customHeight="1">
      <c r="A47" s="129"/>
      <c r="B47" s="78" t="s">
        <v>103</v>
      </c>
      <c r="C47" s="130" t="str">
        <f>E47</f>
        <v>{"username":"Bern.Buchhalter@diartis.ch","password":"HBcc73+ppTX42?E."}</v>
      </c>
      <c r="E47" s="130" t="str">
        <f>F47&amp;G47&amp;H47&amp;I47&amp;J47&amp;K47&amp;L47&amp;M47&amp;N47&amp;O47&amp;P47&amp;Q47&amp;R47&amp;S47&amp;T47&amp;U47&amp;V47&amp;W47&amp;X47</f>
        <v>{"username":"Bern.Buchhalter@diartis.ch","password":"HBcc73+ppTX42?E."}</v>
      </c>
      <c r="F47" s="72" t="s">
        <v>27</v>
      </c>
      <c r="G47" s="72" t="s">
        <v>194</v>
      </c>
      <c r="H47" s="72" t="s">
        <v>29</v>
      </c>
      <c r="I47" s="72" t="s">
        <v>195</v>
      </c>
      <c r="J47" s="72" t="s">
        <v>34</v>
      </c>
      <c r="K47" s="132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5"/>
      <c r="AI47" s="16" t="e">
        <f>AH47/(#REF!)</f>
        <v>#REF!</v>
      </c>
      <c r="AK47" s="16" t="e">
        <f>AJ47/(#REF!)</f>
        <v>#REF!</v>
      </c>
    </row>
    <row r="48" spans="1:37" s="72" customFormat="1" ht="17.25" customHeight="1">
      <c r="A48" s="129"/>
      <c r="B48" s="76" t="s">
        <v>108</v>
      </c>
      <c r="C48" s="130" t="str">
        <f>E48</f>
        <v>{"searchDossierOrKlient":p.DossierName1,"resultType":"Dossiers"}</v>
      </c>
      <c r="E48" s="130" t="str">
        <f>F48&amp;G48&amp;H48&amp;I48&amp;J48&amp;K48&amp;L48&amp;M48&amp;N48&amp;O48&amp;P48&amp;Q48&amp;R48&amp;S48&amp;T48&amp;U48&amp;V48&amp;W48&amp;X48</f>
        <v>{"searchDossierOrKlient":p.DossierName1,"resultType":"Dossiers"}</v>
      </c>
      <c r="F48" s="72" t="s">
        <v>109</v>
      </c>
      <c r="G48" s="138" t="s">
        <v>104</v>
      </c>
      <c r="H48" s="72" t="s">
        <v>110</v>
      </c>
      <c r="I48" s="72" t="s">
        <v>111</v>
      </c>
      <c r="J48" s="72" t="s">
        <v>34</v>
      </c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5"/>
      <c r="AI48" s="16" t="e">
        <f>AH48/(#REF!)</f>
        <v>#REF!</v>
      </c>
      <c r="AK48" s="16" t="e">
        <f>AJ48/(#REF!)</f>
        <v>#REF!</v>
      </c>
    </row>
    <row r="49" spans="1:37" s="79" customFormat="1" ht="17.25" customHeight="1">
      <c r="A49" s="129"/>
      <c r="B49" s="135" t="s">
        <v>21</v>
      </c>
      <c r="C49" s="139" t="s">
        <v>162</v>
      </c>
      <c r="E49" s="140"/>
      <c r="F49" s="14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75"/>
      <c r="AI49" s="16" t="e">
        <f>AH49/(#REF!)</f>
        <v>#REF!</v>
      </c>
      <c r="AK49" s="16" t="e">
        <f>AJ49/(#REF!)</f>
        <v>#REF!</v>
      </c>
    </row>
    <row r="50" spans="1:37" s="72" customFormat="1" ht="17.25" customHeight="1">
      <c r="A50" s="129"/>
      <c r="B50" s="78" t="s">
        <v>196</v>
      </c>
      <c r="C50" s="130" t="str">
        <f>E50</f>
        <v>{"bisValutaDatum":"31.12.2024","dossier":p.DossierName1,"zahlungenTotal":"CHF 11’918.00"}</v>
      </c>
      <c r="E50" s="130" t="str">
        <f>F50&amp;G50&amp;H50&amp;I50&amp;J50&amp;K50&amp;L50&amp;M50&amp;N50&amp;O50&amp;P50&amp;Q50&amp;R50&amp;S50&amp;T50&amp;U50&amp;V50&amp;W50&amp;X50</f>
        <v>{"bisValutaDatum":"31.12.2024","dossier":p.DossierName1,"zahlungenTotal":"CHF 11’918.00"}</v>
      </c>
      <c r="F50" s="72" t="s">
        <v>197</v>
      </c>
      <c r="G50" s="72" t="s">
        <v>186</v>
      </c>
      <c r="H50" s="72" t="s">
        <v>198</v>
      </c>
      <c r="I50" s="132" t="str">
        <f>G45</f>
        <v>p.DossierName1</v>
      </c>
      <c r="J50" s="72" t="s">
        <v>199</v>
      </c>
      <c r="K50" s="131" t="s">
        <v>200</v>
      </c>
      <c r="L50" s="72" t="s">
        <v>34</v>
      </c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5"/>
      <c r="AI50" s="16" t="e">
        <f>AH50/(#REF!)</f>
        <v>#REF!</v>
      </c>
      <c r="AK50" s="16" t="e">
        <f>AJ50/(#REF!)</f>
        <v>#REF!</v>
      </c>
    </row>
    <row r="51" spans="1:37" s="76" customFormat="1" ht="17.25" customHeight="1">
      <c r="A51" s="129"/>
      <c r="B51" s="76" t="s">
        <v>21</v>
      </c>
      <c r="C51" s="133" t="s">
        <v>162</v>
      </c>
      <c r="E51" s="134"/>
      <c r="F51" s="134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5"/>
      <c r="AI51" s="16" t="e">
        <f>AH51/(#REF!)</f>
        <v>#REF!</v>
      </c>
      <c r="AK51" s="16" t="e">
        <f>AJ51/(#REF!)</f>
        <v>#REF!</v>
      </c>
    </row>
    <row r="52" spans="1:37" s="78" customFormat="1" ht="17.25" customHeight="1">
      <c r="A52" s="129"/>
      <c r="B52" s="139" t="s">
        <v>201</v>
      </c>
      <c r="C52" s="130" t="str">
        <f>E52</f>
        <v>{"dossier":0,"ausgefuehrteZahlungen":"6"}</v>
      </c>
      <c r="D52" s="130"/>
      <c r="E52" s="135" t="str">
        <f>F52&amp;G52&amp;H52&amp;I52&amp;J52&amp;K52&amp;L52&amp;M52&amp;N52&amp;O52&amp;P52&amp;Q52&amp;R52&amp;S52&amp;T52&amp;U52&amp;V52&amp;W52</f>
        <v>{"dossier":0,"ausgefuehrteZahlungen":"6"}</v>
      </c>
      <c r="F52" s="72" t="s">
        <v>130</v>
      </c>
      <c r="G52" s="138">
        <f>G59</f>
        <v>0</v>
      </c>
      <c r="H52" s="72" t="s">
        <v>202</v>
      </c>
      <c r="I52" s="72">
        <f>I46</f>
        <v>6</v>
      </c>
      <c r="J52" s="72" t="s">
        <v>34</v>
      </c>
      <c r="K52" s="72"/>
      <c r="L52" s="72"/>
      <c r="M52" s="72"/>
      <c r="N52" s="72"/>
      <c r="O52" s="79"/>
      <c r="P52" s="72"/>
      <c r="Q52" s="72"/>
      <c r="R52" s="74"/>
      <c r="S52" s="74"/>
      <c r="T52" s="74"/>
      <c r="U52" s="74"/>
      <c r="V52" s="74"/>
      <c r="W52" s="74"/>
      <c r="X52" s="74"/>
      <c r="Y52" s="73"/>
      <c r="Z52" s="73"/>
      <c r="AA52" s="73"/>
      <c r="AB52" s="73"/>
      <c r="AC52" s="73"/>
      <c r="AD52" s="73"/>
      <c r="AE52" s="73"/>
      <c r="AF52" s="81"/>
      <c r="AI52" s="16" t="e">
        <f>AH52/(#REF!)</f>
        <v>#REF!</v>
      </c>
      <c r="AK52" s="16" t="e">
        <f>AJ52/(#REF!)</f>
        <v>#REF!</v>
      </c>
    </row>
    <row r="53" spans="1:37" ht="17.25" customHeight="1">
      <c r="B53" s="109"/>
      <c r="F53" s="95"/>
      <c r="H53" s="95"/>
      <c r="J53" s="95"/>
      <c r="L53" s="95"/>
      <c r="N53" s="95"/>
      <c r="P53" s="95"/>
      <c r="R53" s="39"/>
      <c r="T53" s="39"/>
      <c r="V53" s="39"/>
      <c r="AF53" s="29"/>
      <c r="AI53" s="16" t="e">
        <f>AH53/(#REF!)</f>
        <v>#REF!</v>
      </c>
      <c r="AK53" s="16" t="e">
        <f>AJ53/(#REF!)</f>
        <v>#REF!</v>
      </c>
    </row>
    <row r="54" spans="1:37" ht="17.25" customHeight="1">
      <c r="B54" s="141"/>
      <c r="F54" s="95"/>
      <c r="H54" s="95"/>
      <c r="J54" s="95"/>
      <c r="L54" s="95"/>
      <c r="N54" s="95"/>
      <c r="P54" s="95"/>
      <c r="R54" s="39"/>
      <c r="T54" s="39"/>
      <c r="V54" s="39"/>
      <c r="AF54" s="29"/>
      <c r="AI54" s="26"/>
      <c r="AK54" s="26"/>
    </row>
    <row r="55" spans="1:37" ht="17.25" customHeight="1">
      <c r="B55" s="28" t="s">
        <v>22</v>
      </c>
      <c r="F55" s="95"/>
      <c r="H55" s="95"/>
      <c r="J55" s="95"/>
      <c r="L55" s="95"/>
      <c r="N55" s="95"/>
      <c r="P55" s="95"/>
      <c r="R55" s="39"/>
      <c r="T55" s="39"/>
      <c r="V55" s="39"/>
      <c r="AF55" s="60"/>
      <c r="AI55" s="26"/>
      <c r="AK55" s="26"/>
    </row>
    <row r="56" spans="1:37" ht="17.25" customHeight="1">
      <c r="B56" s="28" t="s">
        <v>203</v>
      </c>
      <c r="F56" s="95" t="s">
        <v>204</v>
      </c>
      <c r="G56" s="30" t="str">
        <f>"p.DossierName"&amp;G61</f>
        <v>p.DossierName7</v>
      </c>
      <c r="H56" s="41" t="str">
        <f>"p.ManFirstName"&amp;G61</f>
        <v>p.ManFirstName7</v>
      </c>
      <c r="I56" s="41" t="str">
        <f>"p.AHVNumber"&amp;G63</f>
        <v>p.AHVNumber25</v>
      </c>
      <c r="J56" s="105" t="str">
        <f>"p.BirthdayAdult"&amp;G61</f>
        <v>p.BirthdayAdult7</v>
      </c>
      <c r="L56" s="95"/>
      <c r="N56" s="95"/>
      <c r="P56" s="95"/>
      <c r="R56" s="39"/>
      <c r="T56" s="39"/>
      <c r="V56" s="39"/>
      <c r="AF56" s="29"/>
      <c r="AI56" s="26"/>
      <c r="AK56" s="26"/>
    </row>
    <row r="57" spans="1:37" ht="17.25" customHeight="1">
      <c r="B57" s="28" t="s">
        <v>205</v>
      </c>
      <c r="F57" s="95" t="s">
        <v>206</v>
      </c>
      <c r="G57" s="41" t="str">
        <f>"p.FamilyName"&amp;G61</f>
        <v>p.FamilyName7</v>
      </c>
      <c r="H57" s="41" t="str">
        <f>"p.WomanFirstName"&amp;G61</f>
        <v>p.WomanFirstName7</v>
      </c>
      <c r="I57" s="41" t="str">
        <f>"p.AHVNumber"&amp;G63+1</f>
        <v>p.AHVNumber26</v>
      </c>
      <c r="J57" s="105" t="str">
        <f>"p.BirthdayAdult"&amp;G62</f>
        <v>p.BirthdayAdult8</v>
      </c>
      <c r="L57" s="95"/>
      <c r="N57" s="95"/>
      <c r="P57" s="95"/>
      <c r="R57" s="39"/>
      <c r="T57" s="39"/>
      <c r="V57" s="39"/>
      <c r="AF57" s="29"/>
      <c r="AI57" s="26"/>
      <c r="AK57" s="26"/>
    </row>
    <row r="58" spans="1:37" ht="17.25" customHeight="1">
      <c r="B58" s="28" t="s">
        <v>22</v>
      </c>
      <c r="F58" s="95" t="s">
        <v>207</v>
      </c>
      <c r="G58" s="30" t="str">
        <f>G57</f>
        <v>p.FamilyName7</v>
      </c>
      <c r="H58" s="41" t="str">
        <f>"p.GirlFirstName"&amp;G61</f>
        <v>p.GirlFirstName7</v>
      </c>
      <c r="I58" s="41" t="str">
        <f>"p.AHVNumber"&amp;G63+2</f>
        <v>p.AHVNumber27</v>
      </c>
      <c r="J58" s="105" t="str">
        <f>"p.BirthdayKid"&amp;G61</f>
        <v>p.BirthdayKid7</v>
      </c>
      <c r="L58" s="95"/>
      <c r="N58" s="95"/>
      <c r="P58" s="95"/>
      <c r="R58" s="39"/>
      <c r="T58" s="39"/>
      <c r="V58" s="39"/>
      <c r="AF58" s="60"/>
      <c r="AI58" s="26"/>
      <c r="AK58" s="26"/>
    </row>
    <row r="59" spans="1:37" ht="17.25" customHeight="1">
      <c r="B59" s="28" t="s">
        <v>203</v>
      </c>
      <c r="F59" s="95"/>
      <c r="H59" s="41" t="str">
        <f>"p.ManFirstName"&amp;G62</f>
        <v>p.ManFirstName8</v>
      </c>
      <c r="I59" s="41" t="str">
        <f>"p.AHVNumber"&amp;G63+3</f>
        <v>p.AHVNumber28</v>
      </c>
      <c r="J59" s="105" t="str">
        <f>"p.BirthdayKid"&amp;G62</f>
        <v>p.BirthdayKid8</v>
      </c>
      <c r="L59" s="95"/>
      <c r="N59" s="95"/>
      <c r="P59" s="95"/>
      <c r="R59" s="39"/>
      <c r="T59" s="39"/>
      <c r="V59" s="39"/>
      <c r="AF59" s="29"/>
      <c r="AI59" s="26"/>
      <c r="AK59" s="26"/>
    </row>
    <row r="60" spans="1:37" ht="17.25" customHeight="1">
      <c r="B60" s="28" t="s">
        <v>208</v>
      </c>
      <c r="F60" s="95"/>
      <c r="H60" s="95" t="str">
        <f>H56</f>
        <v>p.ManFirstName7</v>
      </c>
      <c r="I60" s="30" t="str">
        <f>I56</f>
        <v>p.AHVNumber25</v>
      </c>
      <c r="J60" s="105" t="str">
        <f>J56</f>
        <v>p.BirthdayAdult7</v>
      </c>
      <c r="L60" s="95"/>
      <c r="N60" s="95"/>
      <c r="P60" s="95"/>
      <c r="R60" s="39"/>
      <c r="T60" s="39"/>
      <c r="V60" s="39"/>
      <c r="AF60" s="29"/>
      <c r="AI60" s="26"/>
      <c r="AK60" s="26"/>
    </row>
    <row r="61" spans="1:37" ht="17.25" customHeight="1">
      <c r="B61" s="28" t="s">
        <v>22</v>
      </c>
      <c r="F61" s="95"/>
      <c r="G61" s="102">
        <v>7</v>
      </c>
      <c r="H61" s="95" t="str">
        <f t="shared" ref="H61:J63" si="5">H57</f>
        <v>p.WomanFirstName7</v>
      </c>
      <c r="I61" s="30" t="str">
        <f t="shared" si="5"/>
        <v>p.AHVNumber26</v>
      </c>
      <c r="J61" s="105" t="str">
        <f t="shared" si="5"/>
        <v>p.BirthdayAdult8</v>
      </c>
      <c r="L61" s="95"/>
      <c r="N61" s="95"/>
      <c r="P61" s="95"/>
      <c r="R61" s="39"/>
      <c r="T61" s="39"/>
      <c r="V61" s="39"/>
      <c r="AF61" s="60"/>
      <c r="AI61" s="26"/>
      <c r="AK61" s="26"/>
    </row>
    <row r="62" spans="1:37" ht="17.25" customHeight="1">
      <c r="F62" s="95"/>
      <c r="G62" s="30">
        <f>G61+1</f>
        <v>8</v>
      </c>
      <c r="H62" s="95" t="str">
        <f t="shared" si="5"/>
        <v>p.GirlFirstName7</v>
      </c>
      <c r="I62" s="30" t="str">
        <f t="shared" si="5"/>
        <v>p.AHVNumber27</v>
      </c>
      <c r="J62" s="105" t="str">
        <f t="shared" si="5"/>
        <v>p.BirthdayKid7</v>
      </c>
      <c r="L62" s="95"/>
      <c r="N62" s="95"/>
      <c r="P62" s="95"/>
      <c r="R62" s="39"/>
      <c r="T62" s="39"/>
      <c r="V62" s="39"/>
      <c r="AF62" s="29"/>
    </row>
    <row r="63" spans="1:37" ht="17.25" customHeight="1">
      <c r="F63" s="95"/>
      <c r="G63" s="30">
        <f>G61*4-4+1</f>
        <v>25</v>
      </c>
      <c r="H63" s="95" t="str">
        <f t="shared" si="5"/>
        <v>p.ManFirstName8</v>
      </c>
      <c r="I63" s="30" t="str">
        <f t="shared" si="5"/>
        <v>p.AHVNumber28</v>
      </c>
      <c r="J63" s="105" t="str">
        <f t="shared" si="5"/>
        <v>p.BirthdayKid8</v>
      </c>
      <c r="L63" s="95"/>
      <c r="N63" s="95"/>
      <c r="P63" s="95"/>
      <c r="R63" s="39"/>
      <c r="T63" s="39"/>
      <c r="V63" s="39"/>
      <c r="AF63" s="29"/>
    </row>
    <row r="64" spans="1:37" ht="17.25" customHeight="1">
      <c r="B64" s="142" t="s">
        <v>209</v>
      </c>
      <c r="F64" s="95"/>
      <c r="G64" s="30">
        <f>G62*4-4+1</f>
        <v>29</v>
      </c>
      <c r="H64" s="95"/>
      <c r="J64" s="95"/>
      <c r="L64" s="95"/>
      <c r="N64" s="95"/>
      <c r="P64" s="95"/>
      <c r="R64" s="39"/>
      <c r="T64" s="39"/>
      <c r="V64" s="39"/>
      <c r="AF64" s="60"/>
    </row>
    <row r="65" spans="1:37" ht="17.25" customHeight="1">
      <c r="D65" s="30">
        <f ca="1">MONTH(TODAY())</f>
        <v>11</v>
      </c>
      <c r="E65" s="143" t="e">
        <f t="array" ref="E65">#N/A</f>
        <v>#N/A</v>
      </c>
      <c r="F65" s="95"/>
      <c r="H65" s="95"/>
      <c r="J65" s="95"/>
      <c r="L65" s="95"/>
      <c r="N65" s="95"/>
      <c r="P65" s="95"/>
      <c r="Q65" s="30" t="str">
        <f ca="1">TEXT(TEXT(TODAY()-3,"DD")&amp;"."&amp;TEXT(TODAY()-3,"MM")&amp;"."&amp;TEXT(TODAY()-3,"YYYY"),"DD.MM.YYYY")</f>
        <v>02.11.2025</v>
      </c>
      <c r="R65" s="39"/>
      <c r="T65" s="39"/>
      <c r="V65" s="39"/>
      <c r="AF65" s="29"/>
    </row>
    <row r="66" spans="1:37" ht="17.25" customHeight="1">
      <c r="D66" s="30">
        <f t="shared" ref="D66:D71" ca="1" si="6">D65+1</f>
        <v>12</v>
      </c>
      <c r="E66" s="143" t="e">
        <f t="array" ref="E66">#N/A</f>
        <v>#N/A</v>
      </c>
      <c r="F66" s="95"/>
      <c r="H66" s="95"/>
      <c r="J66" s="95"/>
      <c r="L66" s="95"/>
      <c r="N66" s="95"/>
      <c r="P66" s="95"/>
      <c r="R66" s="39"/>
      <c r="T66" s="39"/>
      <c r="V66" s="39"/>
      <c r="AF66" s="29"/>
    </row>
    <row r="67" spans="1:37" ht="17.25" customHeight="1">
      <c r="D67" s="30">
        <f t="shared" ca="1" si="6"/>
        <v>13</v>
      </c>
      <c r="E67" s="143" t="e">
        <f t="array" ref="E67">#N/A</f>
        <v>#N/A</v>
      </c>
      <c r="F67" s="95"/>
      <c r="H67" s="95"/>
      <c r="J67" s="95"/>
      <c r="L67" s="95"/>
      <c r="N67" s="95"/>
      <c r="P67" s="95"/>
      <c r="R67" s="39"/>
      <c r="T67" s="39"/>
      <c r="V67" s="39"/>
      <c r="AF67" s="60"/>
    </row>
    <row r="68" spans="1:37" ht="17.25" customHeight="1">
      <c r="D68" s="30">
        <f t="shared" ca="1" si="6"/>
        <v>14</v>
      </c>
      <c r="E68" s="143" t="e">
        <f t="array" ref="E68">#N/A</f>
        <v>#N/A</v>
      </c>
      <c r="F68" s="95"/>
      <c r="H68" s="95"/>
      <c r="J68" s="95"/>
      <c r="L68" s="95"/>
      <c r="N68" s="95"/>
      <c r="P68" s="95"/>
      <c r="R68" s="39"/>
      <c r="T68" s="39"/>
      <c r="V68" s="39"/>
      <c r="AF68" s="28"/>
    </row>
    <row r="69" spans="1:37" ht="17.25" customHeight="1">
      <c r="D69" s="30">
        <f t="shared" ca="1" si="6"/>
        <v>15</v>
      </c>
      <c r="E69" s="143" t="e">
        <f t="array" ref="E69">#N/A</f>
        <v>#N/A</v>
      </c>
      <c r="F69" s="95"/>
      <c r="H69" s="95"/>
      <c r="J69" s="95"/>
      <c r="L69" s="95"/>
      <c r="N69" s="95"/>
      <c r="P69" s="95"/>
      <c r="R69" s="39"/>
      <c r="T69" s="39"/>
      <c r="V69" s="39"/>
      <c r="AF69" s="60"/>
    </row>
    <row r="70" spans="1:37" ht="17.25" customHeight="1">
      <c r="D70" s="30">
        <f t="shared" ca="1" si="6"/>
        <v>16</v>
      </c>
      <c r="E70" s="143" t="e">
        <f t="array" ref="E70">#N/A</f>
        <v>#N/A</v>
      </c>
      <c r="F70" s="95"/>
      <c r="H70" s="95"/>
      <c r="J70" s="95"/>
      <c r="L70" s="95"/>
      <c r="N70" s="95"/>
      <c r="P70" s="95"/>
      <c r="R70" s="39"/>
      <c r="T70" s="39"/>
      <c r="V70" s="39"/>
      <c r="AF70" s="28"/>
    </row>
    <row r="71" spans="1:37" ht="17.25" customHeight="1">
      <c r="D71" s="30">
        <f t="shared" ca="1" si="6"/>
        <v>17</v>
      </c>
      <c r="E71" s="143" t="e">
        <f t="array" ref="E71">#N/A</f>
        <v>#N/A</v>
      </c>
      <c r="F71" s="95"/>
      <c r="H71" s="95"/>
      <c r="J71" s="95"/>
      <c r="L71" s="95"/>
      <c r="N71" s="95"/>
      <c r="P71" s="95"/>
      <c r="R71" s="39"/>
      <c r="T71" s="39"/>
      <c r="V71" s="39"/>
      <c r="AF71" s="65"/>
    </row>
    <row r="72" spans="1:37" ht="17.25" customHeight="1">
      <c r="E72" s="144"/>
      <c r="F72" s="95"/>
      <c r="H72" s="95"/>
      <c r="J72" s="95"/>
      <c r="L72" s="95"/>
      <c r="N72" s="95"/>
      <c r="P72" s="95"/>
      <c r="R72" s="39"/>
      <c r="T72" s="39"/>
      <c r="V72" s="39"/>
      <c r="AF72" s="49"/>
    </row>
    <row r="73" spans="1:37" ht="17.25" customHeight="1">
      <c r="D73" s="30">
        <v>10</v>
      </c>
      <c r="E73" s="29" t="e">
        <f t="array" ref="E73">#N/A</f>
        <v>#N/A</v>
      </c>
      <c r="F73" s="95"/>
      <c r="H73" s="95"/>
      <c r="J73" s="95"/>
      <c r="L73" s="95"/>
      <c r="N73" s="95"/>
      <c r="P73" s="95"/>
      <c r="R73" s="39"/>
      <c r="T73" s="39"/>
      <c r="V73" s="39"/>
      <c r="AF73" s="65"/>
    </row>
    <row r="74" spans="1:37" ht="17.25" customHeight="1">
      <c r="F74" s="95"/>
      <c r="H74" s="95"/>
      <c r="J74" s="95"/>
      <c r="L74" s="95"/>
      <c r="N74" s="95"/>
      <c r="P74" s="95"/>
      <c r="R74" s="39"/>
      <c r="T74" s="39"/>
      <c r="V74" s="39"/>
      <c r="AF74" s="49"/>
    </row>
    <row r="75" spans="1:37" s="41" customFormat="1" ht="17.25" customHeight="1">
      <c r="A75" s="27"/>
      <c r="B75" s="29" t="s">
        <v>210</v>
      </c>
      <c r="C75" s="29"/>
      <c r="E75" s="29"/>
      <c r="F75" s="95"/>
      <c r="G75" s="145">
        <v>1</v>
      </c>
      <c r="H75" s="95"/>
      <c r="J75" s="95"/>
      <c r="L75" s="95"/>
      <c r="N75" s="95"/>
      <c r="P75" s="95"/>
      <c r="R75" s="39"/>
      <c r="T75" s="39"/>
      <c r="V75" s="39"/>
      <c r="AH75" s="35"/>
      <c r="AI75" s="5"/>
      <c r="AJ75" s="83"/>
      <c r="AK75" s="5"/>
    </row>
    <row r="76" spans="1:37" s="41" customFormat="1" ht="17.25" customHeight="1">
      <c r="A76" s="27"/>
      <c r="B76" s="29" t="s">
        <v>211</v>
      </c>
      <c r="C76" s="29"/>
      <c r="E76" s="29"/>
      <c r="F76" s="95"/>
      <c r="G76" s="41">
        <f>G75+1</f>
        <v>2</v>
      </c>
      <c r="H76" s="95"/>
      <c r="J76" s="95"/>
      <c r="L76" s="95"/>
      <c r="N76" s="95"/>
      <c r="P76" s="95"/>
      <c r="R76" s="39"/>
      <c r="T76" s="39"/>
      <c r="V76" s="39"/>
      <c r="AH76" s="35"/>
      <c r="AI76" s="5"/>
      <c r="AJ76" s="83"/>
      <c r="AK76" s="5"/>
    </row>
    <row r="77" spans="1:37" s="41" customFormat="1" ht="17.25" customHeight="1">
      <c r="A77" s="27"/>
      <c r="B77" s="29" t="s">
        <v>212</v>
      </c>
      <c r="C77" s="29"/>
      <c r="E77" s="29"/>
      <c r="F77" s="95"/>
      <c r="G77" s="41">
        <f>G75*4-4+1</f>
        <v>1</v>
      </c>
      <c r="H77" s="95"/>
      <c r="J77" s="95"/>
      <c r="L77" s="95"/>
      <c r="N77" s="95"/>
      <c r="P77" s="95"/>
      <c r="R77" s="39"/>
      <c r="T77" s="39"/>
      <c r="V77" s="39"/>
      <c r="AH77" s="32"/>
      <c r="AI77" s="5"/>
      <c r="AJ77" s="83"/>
      <c r="AK77" s="5"/>
    </row>
    <row r="78" spans="1:37" s="41" customFormat="1" ht="17.25" customHeight="1">
      <c r="A78" s="27"/>
      <c r="B78" s="29" t="s">
        <v>213</v>
      </c>
      <c r="C78" s="29"/>
      <c r="E78" s="29"/>
      <c r="F78" s="95"/>
      <c r="H78" s="95"/>
      <c r="J78" s="95"/>
      <c r="L78" s="95"/>
      <c r="N78" s="95"/>
      <c r="P78" s="95"/>
      <c r="R78" s="39"/>
      <c r="T78" s="39"/>
      <c r="V78" s="39"/>
      <c r="AH78" s="32"/>
      <c r="AI78" s="5"/>
      <c r="AJ78" s="83"/>
      <c r="AK78" s="5"/>
    </row>
    <row r="79" spans="1:37" s="41" customFormat="1" ht="17.25" customHeight="1">
      <c r="A79" s="27"/>
      <c r="B79" s="29" t="s">
        <v>214</v>
      </c>
      <c r="C79" s="29"/>
      <c r="D79" s="146" t="s">
        <v>215</v>
      </c>
      <c r="E79" s="147"/>
      <c r="F79" s="148"/>
      <c r="G79" s="149"/>
      <c r="H79" s="148"/>
      <c r="I79" s="150"/>
      <c r="J79" s="95"/>
      <c r="L79" s="95"/>
      <c r="N79" s="95"/>
      <c r="P79" s="95"/>
      <c r="R79" s="39"/>
      <c r="T79" s="39"/>
      <c r="V79" s="39"/>
      <c r="AH79" s="32"/>
      <c r="AI79" s="5"/>
      <c r="AJ79" s="83"/>
      <c r="AK79" s="5"/>
    </row>
    <row r="80" spans="1:37" s="41" customFormat="1" ht="17.25" customHeight="1">
      <c r="A80" s="27"/>
      <c r="B80" s="144" t="s">
        <v>216</v>
      </c>
      <c r="C80" s="29"/>
      <c r="D80" s="151"/>
      <c r="E80" s="41">
        <f ca="1">MONTH(TODAY())+12</f>
        <v>23</v>
      </c>
      <c r="F80" s="143" t="e">
        <f t="array" ref="F80">#N/A</f>
        <v>#N/A</v>
      </c>
      <c r="G80" s="95"/>
      <c r="I80" s="152"/>
      <c r="J80" s="95"/>
      <c r="L80" s="95"/>
      <c r="N80" s="95"/>
      <c r="P80" s="95"/>
      <c r="R80" s="39"/>
      <c r="T80" s="39"/>
      <c r="V80" s="39"/>
      <c r="AH80" s="32"/>
      <c r="AI80" s="5"/>
      <c r="AJ80" s="83"/>
      <c r="AK80" s="5"/>
    </row>
    <row r="81" spans="1:37" s="41" customFormat="1" ht="17.25" customHeight="1">
      <c r="A81" s="27"/>
      <c r="B81" s="29" t="s">
        <v>217</v>
      </c>
      <c r="C81" s="29"/>
      <c r="D81" s="151"/>
      <c r="E81" s="41">
        <f t="shared" ref="E81:E86" ca="1" si="7">E80+1</f>
        <v>24</v>
      </c>
      <c r="F81" s="143" t="e">
        <f t="array" ref="F81">#N/A</f>
        <v>#N/A</v>
      </c>
      <c r="G81" s="95"/>
      <c r="I81" s="152"/>
      <c r="J81" s="95"/>
      <c r="L81" s="95"/>
      <c r="N81" s="95"/>
      <c r="P81" s="95"/>
      <c r="R81" s="39"/>
      <c r="T81" s="39"/>
      <c r="V81" s="39"/>
      <c r="AH81" s="32"/>
      <c r="AI81" s="5"/>
      <c r="AJ81" s="83"/>
      <c r="AK81" s="5"/>
    </row>
    <row r="82" spans="1:37" s="41" customFormat="1" ht="17.25" customHeight="1">
      <c r="A82" s="27"/>
      <c r="B82" s="144" t="s">
        <v>218</v>
      </c>
      <c r="C82" s="29"/>
      <c r="D82" s="151"/>
      <c r="E82" s="41">
        <f t="shared" ca="1" si="7"/>
        <v>25</v>
      </c>
      <c r="F82" s="143" t="e">
        <f t="array" ref="F82">#N/A</f>
        <v>#N/A</v>
      </c>
      <c r="G82" s="95"/>
      <c r="I82" s="152"/>
      <c r="J82" s="95"/>
      <c r="L82" s="95"/>
      <c r="N82" s="95"/>
      <c r="P82" s="95"/>
      <c r="R82" s="39"/>
      <c r="T82" s="39"/>
      <c r="V82" s="39"/>
      <c r="AH82" s="32"/>
      <c r="AI82" s="5"/>
      <c r="AJ82" s="83"/>
      <c r="AK82" s="5"/>
    </row>
    <row r="83" spans="1:37" s="41" customFormat="1" ht="17.25" customHeight="1">
      <c r="A83" s="27"/>
      <c r="B83" s="153"/>
      <c r="C83" s="29"/>
      <c r="D83" s="151"/>
      <c r="E83" s="41">
        <f t="shared" ca="1" si="7"/>
        <v>26</v>
      </c>
      <c r="F83" s="143" t="e">
        <f t="array" ref="F83">#N/A</f>
        <v>#N/A</v>
      </c>
      <c r="G83" s="95"/>
      <c r="I83" s="152"/>
      <c r="J83" s="95"/>
      <c r="L83" s="95"/>
      <c r="N83" s="95"/>
      <c r="P83" s="95"/>
      <c r="R83" s="39"/>
      <c r="T83" s="39"/>
      <c r="V83" s="39"/>
      <c r="AH83" s="32"/>
      <c r="AI83" s="5"/>
      <c r="AJ83" s="83"/>
      <c r="AK83" s="5"/>
    </row>
    <row r="84" spans="1:37" s="41" customFormat="1" ht="17.25" customHeight="1">
      <c r="A84" s="27"/>
      <c r="B84" s="153"/>
      <c r="C84" s="29"/>
      <c r="D84" s="151"/>
      <c r="E84" s="41">
        <f t="shared" ca="1" si="7"/>
        <v>27</v>
      </c>
      <c r="F84" s="143" t="e">
        <f t="array" ref="F84">#N/A</f>
        <v>#N/A</v>
      </c>
      <c r="G84" s="95"/>
      <c r="I84" s="152"/>
      <c r="J84" s="95"/>
      <c r="L84" s="95"/>
      <c r="N84" s="95"/>
      <c r="P84" s="95"/>
      <c r="R84" s="39"/>
      <c r="T84" s="39"/>
      <c r="V84" s="39"/>
      <c r="AH84" s="32"/>
      <c r="AI84" s="5"/>
      <c r="AJ84" s="83"/>
      <c r="AK84" s="5"/>
    </row>
    <row r="85" spans="1:37" s="41" customFormat="1" ht="17.25" customHeight="1">
      <c r="A85" s="27"/>
      <c r="B85" s="153"/>
      <c r="C85" s="29"/>
      <c r="D85" s="151"/>
      <c r="E85" s="41">
        <f t="shared" ca="1" si="7"/>
        <v>28</v>
      </c>
      <c r="F85" s="143" t="e">
        <f t="array" ref="F85">#N/A</f>
        <v>#N/A</v>
      </c>
      <c r="G85" s="95"/>
      <c r="I85" s="152"/>
      <c r="J85" s="95"/>
      <c r="L85" s="95"/>
      <c r="N85" s="95"/>
      <c r="P85" s="95"/>
      <c r="R85" s="39"/>
      <c r="T85" s="39"/>
      <c r="V85" s="39"/>
      <c r="AH85" s="32"/>
      <c r="AI85" s="5"/>
      <c r="AJ85" s="83"/>
      <c r="AK85" s="5"/>
    </row>
    <row r="86" spans="1:37" s="41" customFormat="1" ht="17.25" customHeight="1">
      <c r="A86" s="27"/>
      <c r="B86" s="153"/>
      <c r="C86" s="29"/>
      <c r="D86" s="151"/>
      <c r="E86" s="41">
        <f t="shared" ca="1" si="7"/>
        <v>29</v>
      </c>
      <c r="F86" s="143" t="e">
        <f t="array" ref="F86">#N/A</f>
        <v>#N/A</v>
      </c>
      <c r="G86" s="95"/>
      <c r="I86" s="152"/>
      <c r="J86" s="95"/>
      <c r="L86" s="95"/>
      <c r="N86" s="95"/>
      <c r="P86" s="95"/>
      <c r="R86" s="39"/>
      <c r="T86" s="39"/>
      <c r="V86" s="39"/>
      <c r="AH86" s="32"/>
      <c r="AI86" s="5"/>
      <c r="AJ86" s="83"/>
      <c r="AK86" s="5"/>
    </row>
    <row r="87" spans="1:37" s="41" customFormat="1" ht="17.25" customHeight="1">
      <c r="A87" s="27"/>
      <c r="B87" s="153"/>
      <c r="C87" s="29"/>
      <c r="D87" s="151"/>
      <c r="F87" s="144"/>
      <c r="G87" s="95"/>
      <c r="I87" s="152"/>
      <c r="J87" s="95"/>
      <c r="L87" s="95"/>
      <c r="N87" s="95"/>
      <c r="P87" s="95"/>
      <c r="R87" s="39"/>
      <c r="T87" s="39"/>
      <c r="V87" s="39"/>
      <c r="AH87" s="32"/>
      <c r="AI87" s="5"/>
      <c r="AJ87" s="83"/>
      <c r="AK87" s="5"/>
    </row>
    <row r="88" spans="1:37" s="41" customFormat="1" ht="17.25" customHeight="1">
      <c r="A88" s="27"/>
      <c r="B88" s="153"/>
      <c r="C88" s="29"/>
      <c r="D88" s="151"/>
      <c r="E88" s="41">
        <v>13</v>
      </c>
      <c r="F88" s="29" t="e">
        <f t="array" ref="F88">#N/A</f>
        <v>#N/A</v>
      </c>
      <c r="G88" s="95"/>
      <c r="I88" s="152"/>
      <c r="J88" s="95"/>
      <c r="L88" s="95"/>
      <c r="N88" s="95"/>
      <c r="P88" s="95"/>
      <c r="R88" s="39"/>
      <c r="T88" s="39"/>
      <c r="V88" s="39"/>
      <c r="AH88" s="32"/>
      <c r="AI88" s="5"/>
      <c r="AJ88" s="83"/>
      <c r="AK88" s="5"/>
    </row>
    <row r="89" spans="1:37" s="41" customFormat="1" ht="17.25" customHeight="1">
      <c r="A89" s="27"/>
      <c r="B89" s="153"/>
      <c r="C89" s="29"/>
      <c r="D89" s="151"/>
      <c r="F89" s="29"/>
      <c r="G89" s="95"/>
      <c r="I89" s="152"/>
      <c r="J89" s="95"/>
      <c r="L89" s="95"/>
      <c r="N89" s="95"/>
      <c r="P89" s="95"/>
      <c r="R89" s="39"/>
      <c r="T89" s="39"/>
      <c r="V89" s="39"/>
      <c r="AH89" s="32"/>
      <c r="AI89" s="5"/>
      <c r="AJ89" s="83"/>
      <c r="AK89" s="5"/>
    </row>
    <row r="90" spans="1:37" s="41" customFormat="1" ht="17.25" customHeight="1">
      <c r="A90" s="27"/>
      <c r="B90" s="153"/>
      <c r="C90" s="29"/>
      <c r="D90" s="151"/>
      <c r="F90" s="29"/>
      <c r="G90" s="95"/>
      <c r="I90" s="152"/>
      <c r="J90" s="95"/>
      <c r="L90" s="95"/>
      <c r="N90" s="95"/>
      <c r="P90" s="95"/>
      <c r="R90" s="39"/>
      <c r="T90" s="39"/>
      <c r="V90" s="39"/>
      <c r="AH90" s="32"/>
      <c r="AI90" s="5"/>
      <c r="AJ90" s="83"/>
      <c r="AK90" s="5"/>
    </row>
    <row r="91" spans="1:37" s="41" customFormat="1" ht="17.25" customHeight="1">
      <c r="A91" s="27"/>
      <c r="B91" s="153"/>
      <c r="C91" s="29"/>
      <c r="D91" s="151"/>
      <c r="F91" s="29" t="e">
        <f t="array" ref="F91">#N/A</f>
        <v>#N/A</v>
      </c>
      <c r="G91" s="95"/>
      <c r="I91" s="152"/>
      <c r="J91" s="95"/>
      <c r="L91" s="95"/>
      <c r="N91" s="95"/>
      <c r="P91" s="95"/>
      <c r="R91" s="39"/>
      <c r="T91" s="39"/>
      <c r="V91" s="39"/>
      <c r="AH91" s="32"/>
      <c r="AI91" s="5"/>
      <c r="AJ91" s="83"/>
      <c r="AK91" s="5"/>
    </row>
    <row r="92" spans="1:37" s="41" customFormat="1" ht="17.25" customHeight="1">
      <c r="A92" s="27"/>
      <c r="B92" s="153"/>
      <c r="C92" s="29"/>
      <c r="D92" s="151"/>
      <c r="F92" s="29"/>
      <c r="G92" s="95">
        <v>1</v>
      </c>
      <c r="H92" s="41" t="s">
        <v>219</v>
      </c>
      <c r="I92" s="152">
        <v>2024</v>
      </c>
      <c r="J92" s="95"/>
      <c r="L92" s="95"/>
      <c r="N92" s="95"/>
      <c r="P92" s="95"/>
      <c r="R92" s="39"/>
      <c r="T92" s="39"/>
      <c r="V92" s="39"/>
      <c r="AH92" s="32"/>
      <c r="AI92" s="5"/>
      <c r="AJ92" s="83"/>
      <c r="AK92" s="5"/>
    </row>
    <row r="93" spans="1:37" s="41" customFormat="1" ht="17.25" customHeight="1">
      <c r="A93" s="27"/>
      <c r="B93" s="153"/>
      <c r="C93" s="29"/>
      <c r="D93" s="151"/>
      <c r="F93" s="29"/>
      <c r="G93" s="95">
        <v>2</v>
      </c>
      <c r="H93" s="41" t="s">
        <v>220</v>
      </c>
      <c r="I93" s="152">
        <v>2024</v>
      </c>
      <c r="J93" s="95"/>
      <c r="L93" s="95"/>
      <c r="N93" s="95"/>
      <c r="P93" s="95"/>
      <c r="R93" s="39"/>
      <c r="T93" s="39"/>
      <c r="V93" s="39"/>
      <c r="AH93" s="32"/>
      <c r="AI93" s="5"/>
      <c r="AJ93" s="83"/>
      <c r="AK93" s="5"/>
    </row>
    <row r="94" spans="1:37" s="41" customFormat="1" ht="17.25" customHeight="1">
      <c r="A94" s="27"/>
      <c r="B94" s="153"/>
      <c r="C94" s="29"/>
      <c r="D94" s="151"/>
      <c r="F94" s="29"/>
      <c r="G94" s="95">
        <v>3</v>
      </c>
      <c r="H94" s="41" t="s">
        <v>221</v>
      </c>
      <c r="I94" s="152">
        <v>2024</v>
      </c>
      <c r="J94" s="95"/>
      <c r="L94" s="95"/>
      <c r="N94" s="95"/>
      <c r="P94" s="95"/>
      <c r="R94" s="39"/>
      <c r="T94" s="39"/>
      <c r="V94" s="39"/>
      <c r="AH94" s="32"/>
      <c r="AI94" s="5"/>
      <c r="AJ94" s="83"/>
      <c r="AK94" s="5"/>
    </row>
    <row r="95" spans="1:37" s="41" customFormat="1" ht="17.25" customHeight="1">
      <c r="A95" s="27"/>
      <c r="B95" s="153"/>
      <c r="C95" s="29"/>
      <c r="D95" s="151"/>
      <c r="F95" s="29"/>
      <c r="G95" s="95">
        <v>4</v>
      </c>
      <c r="H95" s="41" t="s">
        <v>222</v>
      </c>
      <c r="I95" s="152">
        <v>2024</v>
      </c>
      <c r="J95" s="95"/>
      <c r="L95" s="95"/>
      <c r="N95" s="95"/>
      <c r="P95" s="95"/>
      <c r="R95" s="39"/>
      <c r="T95" s="39"/>
      <c r="V95" s="39"/>
      <c r="AH95" s="32"/>
      <c r="AI95" s="5"/>
      <c r="AJ95" s="83"/>
      <c r="AK95" s="5"/>
    </row>
    <row r="96" spans="1:37" s="41" customFormat="1" ht="17.25" customHeight="1">
      <c r="A96" s="27"/>
      <c r="B96" s="153"/>
      <c r="C96" s="29"/>
      <c r="D96" s="151"/>
      <c r="F96" s="29"/>
      <c r="G96" s="95">
        <v>5</v>
      </c>
      <c r="H96" s="41" t="s">
        <v>223</v>
      </c>
      <c r="I96" s="152">
        <v>2024</v>
      </c>
      <c r="J96" s="95"/>
      <c r="L96" s="95"/>
      <c r="N96" s="95"/>
      <c r="P96" s="95"/>
      <c r="R96" s="39"/>
      <c r="T96" s="39"/>
      <c r="V96" s="39"/>
      <c r="AH96" s="32"/>
      <c r="AI96" s="5"/>
      <c r="AJ96" s="83"/>
      <c r="AK96" s="5"/>
    </row>
    <row r="97" spans="1:37" s="41" customFormat="1" ht="17.25" customHeight="1">
      <c r="A97" s="27"/>
      <c r="B97" s="153"/>
      <c r="C97" s="29"/>
      <c r="D97" s="151"/>
      <c r="F97" s="29"/>
      <c r="G97" s="95">
        <v>6</v>
      </c>
      <c r="H97" s="41" t="s">
        <v>224</v>
      </c>
      <c r="I97" s="152">
        <v>2024</v>
      </c>
      <c r="J97" s="95"/>
      <c r="L97" s="95"/>
      <c r="N97" s="95"/>
      <c r="P97" s="95"/>
      <c r="R97" s="39"/>
      <c r="T97" s="39"/>
      <c r="V97" s="39"/>
      <c r="AH97" s="32"/>
      <c r="AI97" s="5"/>
      <c r="AJ97" s="83"/>
      <c r="AK97" s="5"/>
    </row>
    <row r="98" spans="1:37" s="41" customFormat="1" ht="17.25" customHeight="1">
      <c r="A98" s="27"/>
      <c r="B98" s="153"/>
      <c r="C98" s="29"/>
      <c r="D98" s="151"/>
      <c r="F98" s="29"/>
      <c r="G98" s="95">
        <v>7</v>
      </c>
      <c r="H98" s="41" t="s">
        <v>225</v>
      </c>
      <c r="I98" s="152">
        <v>2024</v>
      </c>
      <c r="J98" s="95"/>
      <c r="L98" s="95"/>
      <c r="N98" s="95"/>
      <c r="P98" s="95"/>
      <c r="R98" s="39"/>
      <c r="T98" s="39"/>
      <c r="V98" s="39"/>
      <c r="AH98" s="32"/>
      <c r="AI98" s="5"/>
      <c r="AJ98" s="83"/>
      <c r="AK98" s="5"/>
    </row>
    <row r="99" spans="1:37" s="41" customFormat="1" ht="17.25" customHeight="1">
      <c r="A99" s="27"/>
      <c r="B99" s="153"/>
      <c r="C99" s="29"/>
      <c r="D99" s="151"/>
      <c r="F99" s="29"/>
      <c r="G99" s="95">
        <v>8</v>
      </c>
      <c r="H99" s="41" t="s">
        <v>226</v>
      </c>
      <c r="I99" s="152">
        <v>2024</v>
      </c>
      <c r="J99" s="95"/>
      <c r="L99" s="95"/>
      <c r="N99" s="95"/>
      <c r="P99" s="95"/>
      <c r="R99" s="39"/>
      <c r="T99" s="39"/>
      <c r="V99" s="39"/>
      <c r="AH99" s="32"/>
      <c r="AI99" s="5"/>
      <c r="AJ99" s="83"/>
      <c r="AK99" s="5"/>
    </row>
    <row r="100" spans="1:37" s="41" customFormat="1" ht="17.25" customHeight="1">
      <c r="A100" s="27"/>
      <c r="B100" s="153"/>
      <c r="C100" s="29"/>
      <c r="D100" s="151"/>
      <c r="F100" s="29"/>
      <c r="G100" s="95">
        <v>9</v>
      </c>
      <c r="H100" s="41" t="s">
        <v>227</v>
      </c>
      <c r="I100" s="152">
        <v>2024</v>
      </c>
      <c r="J100" s="95"/>
      <c r="L100" s="95"/>
      <c r="N100" s="95"/>
      <c r="P100" s="95"/>
      <c r="R100" s="39"/>
      <c r="T100" s="39"/>
      <c r="V100" s="39"/>
      <c r="AH100" s="32"/>
      <c r="AI100" s="5"/>
      <c r="AJ100" s="83"/>
      <c r="AK100" s="5"/>
    </row>
    <row r="101" spans="1:37" s="41" customFormat="1" ht="17.25" customHeight="1">
      <c r="A101" s="27"/>
      <c r="B101" s="153"/>
      <c r="C101" s="29"/>
      <c r="D101" s="151"/>
      <c r="F101" s="29"/>
      <c r="G101" s="95">
        <v>10</v>
      </c>
      <c r="H101" s="41" t="s">
        <v>228</v>
      </c>
      <c r="I101" s="152">
        <v>2024</v>
      </c>
      <c r="J101" s="95"/>
      <c r="L101" s="95"/>
      <c r="N101" s="95"/>
      <c r="P101" s="95"/>
      <c r="R101" s="39"/>
      <c r="T101" s="39"/>
      <c r="V101" s="39"/>
      <c r="AH101" s="32"/>
      <c r="AI101" s="5"/>
      <c r="AJ101" s="83"/>
      <c r="AK101" s="5"/>
    </row>
    <row r="102" spans="1:37" s="41" customFormat="1" ht="17.25" customHeight="1">
      <c r="A102" s="27"/>
      <c r="B102" s="153"/>
      <c r="C102" s="29"/>
      <c r="D102" s="151"/>
      <c r="F102" s="29"/>
      <c r="G102" s="95">
        <v>11</v>
      </c>
      <c r="H102" s="41" t="s">
        <v>229</v>
      </c>
      <c r="I102" s="152">
        <v>2024</v>
      </c>
      <c r="J102" s="95"/>
      <c r="L102" s="95"/>
      <c r="N102" s="95"/>
      <c r="P102" s="95"/>
      <c r="R102" s="39"/>
      <c r="T102" s="39"/>
      <c r="V102" s="39"/>
      <c r="AH102" s="32"/>
      <c r="AI102" s="5"/>
      <c r="AJ102" s="83"/>
      <c r="AK102" s="5"/>
    </row>
    <row r="103" spans="1:37" s="41" customFormat="1" ht="17.25" customHeight="1">
      <c r="A103" s="27"/>
      <c r="B103" s="153"/>
      <c r="C103" s="29"/>
      <c r="D103" s="151"/>
      <c r="F103" s="29"/>
      <c r="G103" s="95">
        <v>12</v>
      </c>
      <c r="H103" s="41" t="s">
        <v>230</v>
      </c>
      <c r="I103" s="152">
        <v>2024</v>
      </c>
      <c r="J103" s="95"/>
      <c r="L103" s="95"/>
      <c r="N103" s="95"/>
      <c r="P103" s="95"/>
      <c r="R103" s="39"/>
      <c r="T103" s="39"/>
      <c r="V103" s="39"/>
      <c r="AH103" s="32"/>
      <c r="AI103" s="5"/>
      <c r="AJ103" s="83"/>
      <c r="AK103" s="5"/>
    </row>
    <row r="104" spans="1:37" s="41" customFormat="1" ht="17.25" customHeight="1">
      <c r="A104" s="27"/>
      <c r="B104" s="153"/>
      <c r="C104" s="29"/>
      <c r="D104" s="151"/>
      <c r="F104" s="29"/>
      <c r="G104" s="95">
        <v>13</v>
      </c>
      <c r="H104" s="41" t="s">
        <v>219</v>
      </c>
      <c r="I104" s="152">
        <v>2025</v>
      </c>
      <c r="J104" s="95"/>
      <c r="L104" s="95"/>
      <c r="N104" s="95"/>
      <c r="P104" s="95"/>
      <c r="R104" s="39"/>
      <c r="T104" s="39"/>
      <c r="V104" s="39"/>
      <c r="AH104" s="32"/>
      <c r="AI104" s="5"/>
      <c r="AJ104" s="83"/>
      <c r="AK104" s="5"/>
    </row>
    <row r="105" spans="1:37" s="41" customFormat="1" ht="17.25" customHeight="1">
      <c r="A105" s="27"/>
      <c r="B105" s="153"/>
      <c r="C105" s="29"/>
      <c r="D105" s="151"/>
      <c r="F105" s="29"/>
      <c r="G105" s="95">
        <v>14</v>
      </c>
      <c r="H105" s="41" t="s">
        <v>220</v>
      </c>
      <c r="I105" s="152">
        <v>2025</v>
      </c>
      <c r="J105" s="95"/>
      <c r="L105" s="95"/>
      <c r="N105" s="95"/>
      <c r="P105" s="95"/>
      <c r="R105" s="39"/>
      <c r="T105" s="39"/>
      <c r="V105" s="39"/>
      <c r="AH105" s="32"/>
      <c r="AI105" s="5"/>
      <c r="AJ105" s="83"/>
      <c r="AK105" s="5"/>
    </row>
    <row r="106" spans="1:37" s="41" customFormat="1" ht="17.25" customHeight="1">
      <c r="A106" s="27"/>
      <c r="B106" s="153"/>
      <c r="C106" s="29"/>
      <c r="D106" s="151"/>
      <c r="F106" s="29"/>
      <c r="G106" s="95">
        <v>15</v>
      </c>
      <c r="H106" s="41" t="s">
        <v>221</v>
      </c>
      <c r="I106" s="152">
        <v>2025</v>
      </c>
      <c r="J106" s="95"/>
      <c r="L106" s="95"/>
      <c r="N106" s="95"/>
      <c r="P106" s="95"/>
      <c r="R106" s="39"/>
      <c r="T106" s="39"/>
      <c r="V106" s="39"/>
      <c r="AH106" s="32"/>
      <c r="AI106" s="5"/>
      <c r="AJ106" s="83"/>
      <c r="AK106" s="5"/>
    </row>
    <row r="107" spans="1:37" s="41" customFormat="1" ht="17.25" customHeight="1">
      <c r="A107" s="27"/>
      <c r="B107" s="153"/>
      <c r="C107" s="29"/>
      <c r="D107" s="151"/>
      <c r="F107" s="29"/>
      <c r="G107" s="95">
        <v>16</v>
      </c>
      <c r="H107" s="41" t="s">
        <v>222</v>
      </c>
      <c r="I107" s="152">
        <v>2025</v>
      </c>
      <c r="J107" s="95"/>
      <c r="L107" s="95"/>
      <c r="N107" s="95"/>
      <c r="P107" s="95"/>
      <c r="R107" s="39"/>
      <c r="T107" s="39"/>
      <c r="V107" s="39"/>
      <c r="AH107" s="32"/>
      <c r="AI107" s="5"/>
      <c r="AJ107" s="83"/>
      <c r="AK107" s="5"/>
    </row>
    <row r="108" spans="1:37" s="41" customFormat="1" ht="17.25" customHeight="1">
      <c r="A108" s="27"/>
      <c r="B108" s="153"/>
      <c r="C108" s="29"/>
      <c r="D108" s="151"/>
      <c r="F108" s="29"/>
      <c r="G108" s="95">
        <v>17</v>
      </c>
      <c r="H108" s="41" t="s">
        <v>223</v>
      </c>
      <c r="I108" s="152">
        <v>2025</v>
      </c>
      <c r="J108" s="95"/>
      <c r="L108" s="95"/>
      <c r="N108" s="95"/>
      <c r="P108" s="95"/>
      <c r="R108" s="39"/>
      <c r="T108" s="39"/>
      <c r="V108" s="39"/>
      <c r="AH108" s="32"/>
      <c r="AI108" s="5"/>
      <c r="AJ108" s="83"/>
      <c r="AK108" s="5"/>
    </row>
    <row r="109" spans="1:37" s="41" customFormat="1" ht="17.25" customHeight="1">
      <c r="A109" s="27"/>
      <c r="B109" s="153"/>
      <c r="C109" s="29"/>
      <c r="D109" s="151"/>
      <c r="F109" s="29"/>
      <c r="G109" s="95">
        <v>18</v>
      </c>
      <c r="H109" s="41" t="s">
        <v>224</v>
      </c>
      <c r="I109" s="152">
        <v>2025</v>
      </c>
      <c r="J109" s="95"/>
      <c r="L109" s="95"/>
      <c r="N109" s="95"/>
      <c r="P109" s="95"/>
      <c r="R109" s="39"/>
      <c r="T109" s="39"/>
      <c r="V109" s="39"/>
      <c r="AH109" s="32"/>
      <c r="AI109" s="5"/>
      <c r="AJ109" s="83"/>
      <c r="AK109" s="5"/>
    </row>
    <row r="110" spans="1:37" s="41" customFormat="1" ht="17.25" customHeight="1">
      <c r="A110" s="27"/>
      <c r="B110" s="153"/>
      <c r="C110" s="29"/>
      <c r="D110" s="151"/>
      <c r="F110" s="29"/>
      <c r="G110" s="95">
        <v>19</v>
      </c>
      <c r="H110" s="41" t="s">
        <v>225</v>
      </c>
      <c r="I110" s="152">
        <v>2025</v>
      </c>
      <c r="J110" s="95"/>
      <c r="L110" s="95"/>
      <c r="N110" s="95"/>
      <c r="P110" s="95"/>
      <c r="R110" s="39"/>
      <c r="T110" s="39"/>
      <c r="V110" s="39"/>
      <c r="AH110" s="32"/>
      <c r="AI110" s="5"/>
      <c r="AJ110" s="83"/>
      <c r="AK110" s="5"/>
    </row>
    <row r="111" spans="1:37" s="41" customFormat="1" ht="17.25" customHeight="1">
      <c r="A111" s="27"/>
      <c r="B111" s="153"/>
      <c r="C111" s="29"/>
      <c r="D111" s="151"/>
      <c r="F111" s="29"/>
      <c r="G111" s="95">
        <v>20</v>
      </c>
      <c r="H111" s="41" t="s">
        <v>226</v>
      </c>
      <c r="I111" s="152">
        <v>2025</v>
      </c>
      <c r="J111" s="95"/>
      <c r="L111" s="95"/>
      <c r="N111" s="95"/>
      <c r="P111" s="95"/>
      <c r="R111" s="39"/>
      <c r="T111" s="39"/>
      <c r="V111" s="39"/>
      <c r="AH111" s="32"/>
      <c r="AI111" s="5"/>
      <c r="AJ111" s="83"/>
      <c r="AK111" s="5"/>
    </row>
    <row r="112" spans="1:37" s="41" customFormat="1" ht="17.25" customHeight="1">
      <c r="A112" s="27"/>
      <c r="B112" s="153"/>
      <c r="C112" s="29"/>
      <c r="D112" s="151"/>
      <c r="F112" s="29"/>
      <c r="G112" s="95">
        <v>21</v>
      </c>
      <c r="H112" s="41" t="s">
        <v>227</v>
      </c>
      <c r="I112" s="152">
        <v>2025</v>
      </c>
      <c r="J112" s="95"/>
      <c r="L112" s="95"/>
      <c r="N112" s="95"/>
      <c r="P112" s="95"/>
      <c r="R112" s="39"/>
      <c r="T112" s="39"/>
      <c r="V112" s="39"/>
      <c r="AH112" s="32"/>
      <c r="AI112" s="5"/>
      <c r="AJ112" s="83"/>
      <c r="AK112" s="5"/>
    </row>
    <row r="113" spans="1:37" s="41" customFormat="1" ht="17.25" customHeight="1">
      <c r="A113" s="27"/>
      <c r="B113" s="153"/>
      <c r="C113" s="29"/>
      <c r="D113" s="151"/>
      <c r="F113" s="29"/>
      <c r="G113" s="95">
        <v>22</v>
      </c>
      <c r="H113" s="41" t="s">
        <v>228</v>
      </c>
      <c r="I113" s="152">
        <v>2025</v>
      </c>
      <c r="J113" s="95"/>
      <c r="L113" s="95"/>
      <c r="N113" s="95"/>
      <c r="P113" s="95"/>
      <c r="R113" s="39"/>
      <c r="T113" s="39"/>
      <c r="V113" s="39"/>
      <c r="AH113" s="32"/>
      <c r="AI113" s="5"/>
      <c r="AJ113" s="83"/>
      <c r="AK113" s="5"/>
    </row>
    <row r="114" spans="1:37" s="41" customFormat="1" ht="17.25" customHeight="1">
      <c r="A114" s="27"/>
      <c r="B114" s="153"/>
      <c r="C114" s="29"/>
      <c r="D114" s="151"/>
      <c r="F114" s="29"/>
      <c r="G114" s="95">
        <v>23</v>
      </c>
      <c r="H114" s="41" t="s">
        <v>229</v>
      </c>
      <c r="I114" s="152">
        <v>2025</v>
      </c>
      <c r="J114" s="95"/>
      <c r="L114" s="95"/>
      <c r="N114" s="95"/>
      <c r="P114" s="95"/>
      <c r="R114" s="39"/>
      <c r="T114" s="39"/>
      <c r="V114" s="39"/>
      <c r="AH114" s="32"/>
      <c r="AI114" s="5"/>
      <c r="AJ114" s="83"/>
      <c r="AK114" s="5"/>
    </row>
    <row r="115" spans="1:37" s="41" customFormat="1" ht="17.25" customHeight="1">
      <c r="A115" s="27"/>
      <c r="B115" s="153"/>
      <c r="C115" s="29"/>
      <c r="D115" s="154"/>
      <c r="E115" s="155"/>
      <c r="F115" s="156"/>
      <c r="G115" s="157">
        <v>24</v>
      </c>
      <c r="H115" s="155" t="s">
        <v>230</v>
      </c>
      <c r="I115" s="158">
        <v>2025</v>
      </c>
      <c r="J115" s="95"/>
      <c r="L115" s="95"/>
      <c r="N115" s="95"/>
      <c r="P115" s="95"/>
      <c r="R115" s="39"/>
      <c r="T115" s="39"/>
      <c r="V115" s="39"/>
      <c r="AH115" s="32"/>
      <c r="AI115" s="5"/>
      <c r="AJ115" s="83"/>
      <c r="AK115" s="5"/>
    </row>
  </sheetData>
  <conditionalFormatting sqref="AI2:AI147 AK2:AK147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U142"/>
  <sheetViews>
    <sheetView zoomScale="85" zoomScaleNormal="85" workbookViewId="0">
      <pane xSplit="2" ySplit="1" topLeftCell="C2" activePane="bottomRight" state="frozen"/>
      <selection activeCell="F1" sqref="F1"/>
      <selection pane="topRight" activeCell="F1" sqref="F1"/>
      <selection pane="bottomLeft" activeCell="F1" sqref="F1"/>
      <selection pane="bottomRight" activeCell="C34" sqref="C34"/>
    </sheetView>
  </sheetViews>
  <sheetFormatPr defaultRowHeight="17.25" customHeight="1"/>
  <cols>
    <col min="1" max="1" width="9.140625" style="27" customWidth="1"/>
    <col min="2" max="2" width="49.28515625" style="28" customWidth="1"/>
    <col min="3" max="3" width="251.140625" style="29" customWidth="1"/>
    <col min="4" max="4" width="7.140625" style="30" customWidth="1"/>
    <col min="5" max="5" width="115.140625" style="29" customWidth="1"/>
    <col min="6" max="6" width="18.140625" style="31" customWidth="1"/>
    <col min="7" max="7" width="20.85546875" style="30" customWidth="1"/>
    <col min="8" max="8" width="24.5703125" style="31" customWidth="1"/>
    <col min="9" max="9" width="39.140625" style="30" customWidth="1"/>
    <col min="10" max="10" width="5.85546875" style="31" customWidth="1"/>
    <col min="11" max="11" width="22.7109375" style="30" customWidth="1"/>
    <col min="12" max="12" width="55.7109375" style="31" customWidth="1"/>
    <col min="13" max="13" width="29.28515625" style="30" customWidth="1"/>
    <col min="14" max="14" width="14.85546875" style="31" customWidth="1"/>
    <col min="15" max="15" width="37.28515625" style="30" customWidth="1"/>
    <col min="16" max="16" width="5.85546875" style="31" customWidth="1"/>
    <col min="17" max="17" width="5.85546875" style="30" customWidth="1"/>
    <col min="18" max="18" width="5.85546875" style="31" customWidth="1"/>
    <col min="19" max="19" width="5.85546875" style="30" customWidth="1"/>
    <col min="20" max="20" width="5.85546875" style="31" customWidth="1"/>
    <col min="21" max="21" width="5.85546875" style="30" customWidth="1"/>
    <col min="22" max="22" width="5.85546875" style="31" customWidth="1"/>
    <col min="23" max="27" width="5.85546875" style="30" customWidth="1"/>
    <col min="28" max="33" width="9.140625" style="30" customWidth="1"/>
    <col min="34" max="34" width="30" style="30" customWidth="1"/>
    <col min="35" max="35" width="50" style="30" customWidth="1"/>
    <col min="36" max="36" width="30" style="30" customWidth="1"/>
    <col min="37" max="37" width="14.7109375" style="5" customWidth="1"/>
    <col min="38" max="38" width="20" style="30" customWidth="1"/>
    <col min="39" max="39" width="9.140625" style="30"/>
    <col min="40" max="40" width="20" style="30" customWidth="1"/>
    <col min="41" max="41" width="50" style="30" customWidth="1"/>
    <col min="42" max="42" width="20" style="30" customWidth="1"/>
    <col min="43" max="43" width="50" style="30" customWidth="1"/>
    <col min="44" max="44" width="20" style="30" customWidth="1"/>
    <col min="45" max="45" width="50" style="30" customWidth="1"/>
    <col min="46" max="46" width="20" style="30" customWidth="1"/>
    <col min="47" max="47" width="50" style="30" customWidth="1"/>
    <col min="48" max="16384" width="9.140625" style="30"/>
  </cols>
  <sheetData>
    <row r="1" spans="1:47" s="167" customFormat="1" ht="17.25" customHeight="1">
      <c r="A1" s="159" t="s">
        <v>0</v>
      </c>
      <c r="B1" s="159" t="s">
        <v>1</v>
      </c>
      <c r="C1" s="159" t="s">
        <v>2</v>
      </c>
      <c r="D1" s="164" t="s">
        <v>3</v>
      </c>
      <c r="E1" s="165"/>
      <c r="F1" s="404" t="s">
        <v>4</v>
      </c>
      <c r="G1" s="32">
        <f>5*60*1000*SpeedFaktor</f>
        <v>300000</v>
      </c>
      <c r="H1" s="166">
        <v>10</v>
      </c>
      <c r="J1" s="166"/>
      <c r="L1" s="166"/>
      <c r="N1" s="166"/>
      <c r="P1" s="166"/>
      <c r="R1" s="166"/>
      <c r="T1" s="166"/>
      <c r="V1" s="166"/>
      <c r="AG1" s="167" t="s">
        <v>5</v>
      </c>
      <c r="AH1" s="167" t="s">
        <v>11</v>
      </c>
      <c r="AI1" s="167" t="s">
        <v>231</v>
      </c>
      <c r="AJ1" s="167" t="s">
        <v>12</v>
      </c>
      <c r="AK1" s="168" t="s">
        <v>8</v>
      </c>
      <c r="AL1" s="274" t="s">
        <v>353</v>
      </c>
      <c r="AN1" s="319" t="s">
        <v>377</v>
      </c>
      <c r="AO1" s="320" t="s">
        <v>352</v>
      </c>
      <c r="AP1" s="334" t="s">
        <v>380</v>
      </c>
      <c r="AQ1" s="335" t="s">
        <v>352</v>
      </c>
      <c r="AR1" s="350" t="s">
        <v>382</v>
      </c>
      <c r="AS1" s="351" t="s">
        <v>352</v>
      </c>
      <c r="AT1" s="362" t="s">
        <v>387</v>
      </c>
      <c r="AU1" s="363" t="s">
        <v>352</v>
      </c>
    </row>
    <row r="2" spans="1:47" ht="17.25" customHeight="1">
      <c r="A2" s="27">
        <v>1</v>
      </c>
      <c r="B2" s="28" t="s">
        <v>20</v>
      </c>
      <c r="C2" s="94" t="str">
        <f>'07-E2E'!B61</f>
        <v>{"url":p.aventisURL}</v>
      </c>
      <c r="D2" s="41"/>
      <c r="E2" s="29" t="str">
        <f>F2&amp;G2&amp;H2&amp;I2&amp;J2&amp;K2&amp;L2&amp;M2&amp;N2&amp;O2&amp;P2&amp;Q2&amp;R2&amp;S2&amp;T2&amp;U2&amp;V2&amp;W2&amp;X2</f>
        <v>{"url":"https://dev.aventis.swiss"}</v>
      </c>
      <c r="F2" s="95" t="s">
        <v>37</v>
      </c>
      <c r="G2" s="96" t="s">
        <v>38</v>
      </c>
      <c r="H2" s="95" t="s">
        <v>34</v>
      </c>
      <c r="I2" s="41"/>
      <c r="J2" s="95"/>
      <c r="K2" s="41"/>
      <c r="L2" s="95"/>
      <c r="M2" s="41"/>
      <c r="N2" s="95"/>
      <c r="O2" s="41"/>
      <c r="P2" s="95"/>
      <c r="Q2" s="41"/>
      <c r="R2" s="95"/>
      <c r="S2" s="41"/>
      <c r="T2" s="95"/>
      <c r="U2" s="41"/>
      <c r="V2" s="95"/>
      <c r="W2" s="41"/>
      <c r="X2" s="41"/>
      <c r="Y2" s="41"/>
      <c r="Z2" s="41"/>
      <c r="AA2" s="41"/>
      <c r="AB2" s="41"/>
      <c r="AC2" s="41"/>
      <c r="AD2" s="41"/>
      <c r="AE2" s="41"/>
      <c r="AF2" s="35"/>
      <c r="AG2" s="41"/>
      <c r="AH2" s="41">
        <v>268</v>
      </c>
      <c r="AI2" s="41"/>
      <c r="AJ2" s="41">
        <v>337</v>
      </c>
      <c r="AK2" s="26">
        <f>AJ2/$AH2</f>
        <v>1.2574626865671641</v>
      </c>
      <c r="AL2" s="30">
        <v>863</v>
      </c>
      <c r="AN2" s="30">
        <v>374</v>
      </c>
      <c r="AP2" s="30">
        <v>268</v>
      </c>
      <c r="AR2" s="30">
        <v>60</v>
      </c>
      <c r="AT2" s="30">
        <v>124</v>
      </c>
      <c r="AU2" s="30" t="s">
        <v>388</v>
      </c>
    </row>
    <row r="3" spans="1:47" ht="17.25" customHeight="1">
      <c r="A3" s="27">
        <v>2</v>
      </c>
      <c r="B3" s="28" t="s">
        <v>23</v>
      </c>
      <c r="C3" s="29" t="str">
        <f>E3</f>
        <v>{"username":"bern.sozialarbeiterin1b@diartis.ch","password":"VUrh27!yxJA95?W.","fullname":"Sozialarbeiterin 1B Bern","team":"Sozialarbeit Bern 1"}</v>
      </c>
      <c r="D3" s="41"/>
      <c r="E3" s="29" t="str">
        <f>F3&amp;G3&amp;H3&amp;I3&amp;J3&amp;K3&amp;L3&amp;M3&amp;N3&amp;O3&amp;P3&amp;Q3&amp;R3&amp;S3&amp;T3&amp;U3&amp;V3&amp;W3&amp;X3</f>
        <v>{"username":"bern.sozialarbeiterin1b@diartis.ch","password":"VUrh27!yxJA95?W.","fullname":"Sozialarbeiterin 1B Bern","team":"Sozialarbeit Bern 1"}</v>
      </c>
      <c r="F3" s="95" t="s">
        <v>27</v>
      </c>
      <c r="G3" s="315" t="s">
        <v>372</v>
      </c>
      <c r="H3" s="95" t="s">
        <v>29</v>
      </c>
      <c r="I3" s="41" t="s">
        <v>374</v>
      </c>
      <c r="J3" s="95" t="s">
        <v>43</v>
      </c>
      <c r="K3" s="41" t="s">
        <v>373</v>
      </c>
      <c r="L3" s="95" t="s">
        <v>45</v>
      </c>
      <c r="M3" s="41" t="s">
        <v>46</v>
      </c>
      <c r="N3" s="95" t="s">
        <v>34</v>
      </c>
      <c r="O3" s="41"/>
      <c r="P3" s="95"/>
      <c r="Q3" s="41"/>
      <c r="R3" s="95"/>
      <c r="S3" s="41"/>
      <c r="T3" s="95"/>
      <c r="U3" s="41"/>
      <c r="V3" s="95"/>
      <c r="W3" s="41"/>
      <c r="X3" s="41"/>
      <c r="Y3" s="41"/>
      <c r="Z3" s="41"/>
      <c r="AA3" s="41"/>
      <c r="AB3" s="41"/>
      <c r="AC3" s="41"/>
      <c r="AD3" s="41"/>
      <c r="AE3" s="41"/>
      <c r="AF3" s="65"/>
      <c r="AG3" s="41"/>
      <c r="AH3" s="41">
        <v>3012</v>
      </c>
      <c r="AI3" s="41"/>
      <c r="AJ3" s="41">
        <v>3014</v>
      </c>
      <c r="AK3" s="26">
        <f t="shared" ref="AK3:AK36" si="0">AJ3/$AH3</f>
        <v>1.00066401062417</v>
      </c>
      <c r="AL3" s="30">
        <v>1451</v>
      </c>
      <c r="AN3" s="30">
        <v>1098</v>
      </c>
      <c r="AP3" s="30">
        <v>870</v>
      </c>
      <c r="AR3" s="352">
        <v>0</v>
      </c>
      <c r="AS3" s="353" t="s">
        <v>384</v>
      </c>
      <c r="AT3" s="364">
        <v>0</v>
      </c>
      <c r="AU3" s="365" t="s">
        <v>390</v>
      </c>
    </row>
    <row r="4" spans="1:47" ht="17.25" customHeight="1">
      <c r="A4" s="27">
        <v>3</v>
      </c>
      <c r="B4" s="28" t="s">
        <v>47</v>
      </c>
      <c r="C4" s="41" t="str">
        <f>E4</f>
        <v>{"name":p.FamilyName8,"vorname":p.ManFirstName8,"ahvNumber":"","geburtsdatum":""}</v>
      </c>
      <c r="D4" s="41"/>
      <c r="E4" s="29" t="str">
        <f>F4&amp;G4&amp;H4&amp;I4&amp;J4&amp;K4&amp;L4&amp;M4&amp;N4&amp;O4&amp;P4&amp;Q4&amp;R4&amp;S4&amp;T4&amp;U4&amp;V4&amp;W4&amp;X4</f>
        <v>{"name":p.FamilyName8,"vorname":p.ManFirstName8,"ahvNumber":"","geburtsdatum":""}</v>
      </c>
      <c r="F4" s="101" t="s">
        <v>48</v>
      </c>
      <c r="G4" s="102" t="str">
        <f>G46</f>
        <v>p.FamilyName8</v>
      </c>
      <c r="H4" s="95" t="s">
        <v>49</v>
      </c>
      <c r="I4" s="102" t="str">
        <f>H$45</f>
        <v>p.ManFirstName8</v>
      </c>
      <c r="J4" s="95" t="s">
        <v>50</v>
      </c>
      <c r="K4" s="41"/>
      <c r="L4" s="95" t="s">
        <v>51</v>
      </c>
      <c r="M4" s="103"/>
      <c r="N4" s="95" t="s">
        <v>34</v>
      </c>
      <c r="O4" s="41"/>
      <c r="P4" s="95"/>
      <c r="Q4" s="41"/>
      <c r="R4" s="95"/>
      <c r="S4" s="41"/>
      <c r="T4" s="95"/>
      <c r="U4" s="41"/>
      <c r="V4" s="95"/>
      <c r="W4" s="41"/>
      <c r="X4" s="41"/>
      <c r="Y4" s="51" t="s">
        <v>52</v>
      </c>
      <c r="Z4" s="41"/>
      <c r="AA4" s="41"/>
      <c r="AB4" s="41"/>
      <c r="AC4" s="41"/>
      <c r="AD4" s="41"/>
      <c r="AE4" s="41"/>
      <c r="AF4" s="35"/>
      <c r="AG4" s="41"/>
      <c r="AH4" s="41">
        <v>4526</v>
      </c>
      <c r="AI4" s="41"/>
      <c r="AJ4" s="41">
        <v>4447</v>
      </c>
      <c r="AK4" s="26">
        <f t="shared" si="0"/>
        <v>0.98254529385771106</v>
      </c>
      <c r="AL4" s="30">
        <v>6744</v>
      </c>
      <c r="AN4" s="30">
        <v>7196</v>
      </c>
      <c r="AP4" s="30">
        <v>6273</v>
      </c>
      <c r="AR4" s="30">
        <v>178</v>
      </c>
      <c r="AT4" s="30">
        <v>568</v>
      </c>
      <c r="AU4" s="30" t="s">
        <v>388</v>
      </c>
    </row>
    <row r="5" spans="1:47" ht="17.25" customHeight="1">
      <c r="A5" s="27">
        <v>4</v>
      </c>
      <c r="B5" s="30" t="s">
        <v>53</v>
      </c>
      <c r="C5" s="104" t="str">
        <f ca="1">E5</f>
        <v>{"name":p.FamilyName8,"vorname":p.ManFirstName8,"ahvNumber":p.AHVNumber29,"language":"Deutsch","zivilstand":"ledig","zivilStandSeit":"28.07.2025","geburtsdatum":"8.6.1962","national":"Frankreich","gender":"männlich","aufenthalt":"","aufGultigVon":"03.10.2025","aufGueltigBis":"13.02.2026"}</v>
      </c>
      <c r="E5" s="29" t="str">
        <f ca="1">F5&amp;G5&amp;H5&amp;I5&amp;J5&amp;K5&amp;L5&amp;M5&amp;N5&amp;O5&amp;P5&amp;Q5&amp;R5&amp;S5&amp;T5&amp;U5&amp;V5&amp;W5&amp;X5&amp;Y5&amp;Z5&amp;AA5&amp;AB5&amp;AC5&amp;AD5&amp;AE5</f>
        <v>{"name":p.FamilyName8,"vorname":p.ManFirstName8,"ahvNumber":p.AHVNumber29,"language":"Deutsch","zivilstand":"ledig","zivilStandSeit":"28.07.2025","geburtsdatum":"8.6.1962","national":"Frankreich","gender":"männlich","aufenthalt":"","aufGultigVon":"03.10.2025","aufGueltigBis":"13.02.2026"}</v>
      </c>
      <c r="F5" s="95" t="s">
        <v>48</v>
      </c>
      <c r="G5" s="30" t="str">
        <f>G4</f>
        <v>p.FamilyName8</v>
      </c>
      <c r="H5" s="95" t="s">
        <v>49</v>
      </c>
      <c r="I5" s="102" t="str">
        <f>H$45</f>
        <v>p.ManFirstName8</v>
      </c>
      <c r="J5" s="95" t="s">
        <v>54</v>
      </c>
      <c r="K5" s="30" t="str">
        <f>I45</f>
        <v>p.AHVNumber29</v>
      </c>
      <c r="L5" s="95" t="s">
        <v>55</v>
      </c>
      <c r="M5" s="103" t="s">
        <v>56</v>
      </c>
      <c r="N5" s="95" t="s">
        <v>57</v>
      </c>
      <c r="O5" s="41" t="s">
        <v>58</v>
      </c>
      <c r="P5" s="53" t="s">
        <v>59</v>
      </c>
      <c r="Q5" s="30" t="str">
        <f ca="1">TEXT(TEXT(TODAY()-100,"DD")&amp;"."&amp;TEXT(TODAY()-100,"MM")&amp;"."&amp;TEXT(TODAY()-100,"YYYY"),"DD.MM.YYYY")</f>
        <v>28.07.2025</v>
      </c>
      <c r="R5" s="95" t="s">
        <v>60</v>
      </c>
      <c r="S5" s="105" t="str">
        <f ca="1">TEXT(RANDBETWEEN(1,28)&amp;"."&amp;RANDBETWEEN(1,12)&amp;"."&amp;TEXT(TODAY()-23115,"YYYY"),"DD.MM.YYYY")</f>
        <v>8.6.1962</v>
      </c>
      <c r="T5" s="95" t="s">
        <v>61</v>
      </c>
      <c r="U5" s="41" t="s">
        <v>62</v>
      </c>
      <c r="V5" s="95" t="s">
        <v>63</v>
      </c>
      <c r="W5" s="30" t="s">
        <v>64</v>
      </c>
      <c r="X5" s="95" t="s">
        <v>65</v>
      </c>
      <c r="Y5" s="51"/>
      <c r="Z5" s="53" t="s">
        <v>66</v>
      </c>
      <c r="AA5" s="30" t="str">
        <f ca="1">TEXT(TEXT(TODAY()-33,"DD")&amp;"."&amp;TEXT(TODAY()-33,"MM")&amp;"."&amp;TEXT(TODAY()-33,"YYYY"),"DD.MM.YYYY")</f>
        <v>03.10.2025</v>
      </c>
      <c r="AB5" s="53" t="s">
        <v>67</v>
      </c>
      <c r="AC5" s="30" t="str">
        <f ca="1">TEXT(TEXT(TODAY()+100,"DD")&amp;"."&amp;TEXT(TODAY()+100,"MM")&amp;"."&amp;TEXT(TODAY()+100,"YYYY"),"DD.MM.YYYY")</f>
        <v>13.02.2026</v>
      </c>
      <c r="AD5" s="30" t="s">
        <v>34</v>
      </c>
      <c r="AF5" s="35"/>
      <c r="AH5" s="41">
        <v>2086</v>
      </c>
      <c r="AI5" s="41"/>
      <c r="AJ5" s="41">
        <v>1871</v>
      </c>
      <c r="AK5" s="26">
        <f t="shared" si="0"/>
        <v>0.89693192713326941</v>
      </c>
      <c r="AL5" s="30">
        <v>1477</v>
      </c>
      <c r="AN5" s="30">
        <v>1163</v>
      </c>
      <c r="AP5" s="30">
        <v>439</v>
      </c>
    </row>
    <row r="6" spans="1:47" ht="17.25" customHeight="1">
      <c r="A6" s="27">
        <v>5</v>
      </c>
      <c r="B6" s="28" t="s">
        <v>68</v>
      </c>
      <c r="C6" s="29" t="str">
        <f ca="1">E6</f>
        <v>{"mobile":"079 5615160","privateNumber":"079 5242225","email":"3491abc@gmail.com"}</v>
      </c>
      <c r="D6" s="41"/>
      <c r="E6" s="29" t="str">
        <f ca="1">F6&amp;G6&amp;H6&amp;I6&amp;J6&amp;K6&amp;L6&amp;M6&amp;N6&amp;O6&amp;P6&amp;Q6&amp;R6&amp;S6&amp;T6&amp;U6&amp;V6&amp;W6&amp;X6</f>
        <v>{"mobile":"079 5615160","privateNumber":"079 5242225","email":"3491abc@gmail.com"}</v>
      </c>
      <c r="F6" s="101" t="s">
        <v>69</v>
      </c>
      <c r="G6" s="41" t="str">
        <f ca="1">"079 "&amp;RANDBETWEEN(5234500,5699999)</f>
        <v>079 5615160</v>
      </c>
      <c r="H6" s="95" t="s">
        <v>70</v>
      </c>
      <c r="I6" s="41" t="str">
        <f ca="1">"079 "&amp;RANDBETWEEN(5234500,5699999)</f>
        <v>079 5242225</v>
      </c>
      <c r="J6" s="95" t="s">
        <v>71</v>
      </c>
      <c r="K6" s="96" t="str">
        <f ca="1">RANDBETWEEN(1111,9999)&amp;"abc@gmail.com"</f>
        <v>3491abc@gmail.com</v>
      </c>
      <c r="L6" s="95" t="s">
        <v>34</v>
      </c>
      <c r="M6" s="41"/>
      <c r="N6" s="95"/>
      <c r="O6" s="41"/>
      <c r="P6" s="41"/>
      <c r="Q6" s="41"/>
      <c r="R6" s="95"/>
      <c r="S6" s="41"/>
      <c r="T6" s="95"/>
      <c r="U6" s="41"/>
      <c r="V6" s="95"/>
      <c r="W6" s="41"/>
      <c r="X6" s="41"/>
      <c r="Y6" s="41"/>
      <c r="Z6" s="41"/>
      <c r="AA6" s="41"/>
      <c r="AB6" s="41"/>
      <c r="AC6" s="41"/>
      <c r="AD6" s="41"/>
      <c r="AE6" s="41"/>
      <c r="AF6" s="35"/>
      <c r="AG6" s="41"/>
      <c r="AH6" s="41">
        <v>3047</v>
      </c>
      <c r="AI6" s="41"/>
      <c r="AJ6" s="41">
        <v>2990</v>
      </c>
      <c r="AK6" s="26">
        <f t="shared" si="0"/>
        <v>0.98129307515589104</v>
      </c>
      <c r="AL6" s="30">
        <v>2766</v>
      </c>
      <c r="AN6" s="30">
        <v>2635</v>
      </c>
      <c r="AP6" s="30">
        <v>2384</v>
      </c>
    </row>
    <row r="7" spans="1:47" ht="17.25" customHeight="1">
      <c r="A7" s="27">
        <v>6</v>
      </c>
      <c r="B7" s="28" t="s">
        <v>72</v>
      </c>
      <c r="C7" s="29" t="str">
        <f ca="1">E7</f>
        <v>{"zusatz":"","strasse":"Strasse_332","houseNumber":"32","ort":"3053 Münchenbuchsee","validDate":"20.12.2021"}</v>
      </c>
      <c r="D7" s="41"/>
      <c r="E7" s="29" t="str">
        <f ca="1">F7&amp;G7&amp;H7&amp;I7&amp;J7&amp;K7&amp;L7&amp;M7&amp;N7&amp;O7&amp;P7&amp;Q7&amp;R7&amp;S7&amp;T7&amp;U7&amp;V7&amp;W7&amp;X7</f>
        <v>{"zusatz":"","strasse":"Strasse_332","houseNumber":"32","ort":"3053 Münchenbuchsee","validDate":"20.12.2021"}</v>
      </c>
      <c r="F7" s="95" t="s">
        <v>73</v>
      </c>
      <c r="G7" s="41"/>
      <c r="H7" s="95" t="s">
        <v>74</v>
      </c>
      <c r="I7" s="41" t="str">
        <f ca="1">"Strasse_"&amp;RANDBETWEEN(1,1000)</f>
        <v>Strasse_332</v>
      </c>
      <c r="J7" s="95" t="s">
        <v>75</v>
      </c>
      <c r="K7" s="41">
        <f ca="1">RANDBETWEEN(1,100)</f>
        <v>32</v>
      </c>
      <c r="L7" s="95" t="s">
        <v>76</v>
      </c>
      <c r="M7" s="41" t="s">
        <v>77</v>
      </c>
      <c r="N7" s="95" t="s">
        <v>78</v>
      </c>
      <c r="O7" s="105" t="str">
        <f ca="1">TEXT(RANDBETWEEN(1,28)&amp;"."&amp;RANDBETWEEN(12,12)&amp;"."&amp;TEXT(TODAY()-4*365,"YYYY"),"DD.MM.YYYY")</f>
        <v>20.12.2021</v>
      </c>
      <c r="P7" s="95" t="s">
        <v>34</v>
      </c>
      <c r="Q7" s="41"/>
      <c r="R7" s="95"/>
      <c r="S7" s="41"/>
      <c r="T7" s="95"/>
      <c r="U7" s="41"/>
      <c r="V7" s="95"/>
      <c r="W7" s="41"/>
      <c r="X7" s="41"/>
      <c r="Y7" s="41"/>
      <c r="Z7" s="41"/>
      <c r="AA7" s="41"/>
      <c r="AB7" s="41"/>
      <c r="AC7" s="41"/>
      <c r="AD7" s="41"/>
      <c r="AE7" s="41"/>
      <c r="AF7" s="35"/>
      <c r="AG7" s="41"/>
      <c r="AH7" s="41">
        <v>378</v>
      </c>
      <c r="AI7" s="41"/>
      <c r="AJ7" s="41">
        <v>234</v>
      </c>
      <c r="AK7" s="26">
        <f t="shared" si="0"/>
        <v>0.61904761904761907</v>
      </c>
      <c r="AL7" s="30">
        <v>239</v>
      </c>
      <c r="AN7" s="30">
        <v>280</v>
      </c>
      <c r="AP7" s="30">
        <v>147</v>
      </c>
    </row>
    <row r="8" spans="1:47" ht="17.25" customHeight="1">
      <c r="A8" s="27">
        <v>7</v>
      </c>
      <c r="B8" s="28" t="s">
        <v>79</v>
      </c>
      <c r="C8" s="29" t="s">
        <v>80</v>
      </c>
      <c r="D8" s="41"/>
      <c r="F8" s="95"/>
      <c r="G8" s="41"/>
      <c r="H8" s="95"/>
      <c r="I8" s="41"/>
      <c r="J8" s="95"/>
      <c r="K8" s="41"/>
      <c r="L8" s="95"/>
      <c r="M8" s="41"/>
      <c r="N8" s="95"/>
      <c r="O8" s="41"/>
      <c r="P8" s="95"/>
      <c r="Q8" s="41"/>
      <c r="R8" s="95"/>
      <c r="S8" s="41"/>
      <c r="T8" s="95"/>
      <c r="U8" s="41"/>
      <c r="V8" s="95"/>
      <c r="W8" s="41"/>
      <c r="X8" s="41"/>
      <c r="Y8" s="41"/>
      <c r="Z8" s="41"/>
      <c r="AA8" s="41"/>
      <c r="AB8" s="41"/>
      <c r="AC8" s="41"/>
      <c r="AD8" s="41"/>
      <c r="AE8" s="41"/>
      <c r="AF8" s="35"/>
      <c r="AG8" s="41"/>
      <c r="AH8" s="41">
        <v>4861</v>
      </c>
      <c r="AI8" s="41"/>
      <c r="AJ8" s="41">
        <v>4692</v>
      </c>
      <c r="AK8" s="26">
        <f t="shared" si="0"/>
        <v>0.96523349105122402</v>
      </c>
      <c r="AL8" s="30">
        <v>4813</v>
      </c>
      <c r="AN8" s="30">
        <v>1437</v>
      </c>
      <c r="AP8" s="30">
        <v>1001</v>
      </c>
    </row>
    <row r="9" spans="1:47" ht="17.25" customHeight="1">
      <c r="A9" s="27">
        <v>8</v>
      </c>
      <c r="B9" s="28" t="s">
        <v>81</v>
      </c>
      <c r="D9" s="41"/>
      <c r="F9" s="95"/>
      <c r="G9" s="41"/>
      <c r="H9" s="95"/>
      <c r="I9" s="41"/>
      <c r="J9" s="95"/>
      <c r="K9" s="41"/>
      <c r="L9" s="95"/>
      <c r="M9" s="41"/>
      <c r="N9" s="95"/>
      <c r="O9" s="41"/>
      <c r="P9" s="95"/>
      <c r="Q9" s="41"/>
      <c r="R9" s="95"/>
      <c r="S9" s="41"/>
      <c r="T9" s="95"/>
      <c r="U9" s="41"/>
      <c r="V9" s="95"/>
      <c r="W9" s="41"/>
      <c r="X9" s="41"/>
      <c r="Y9" s="41"/>
      <c r="Z9" s="41"/>
      <c r="AA9" s="41"/>
      <c r="AB9" s="41"/>
      <c r="AC9" s="41"/>
      <c r="AD9" s="41"/>
      <c r="AE9" s="41"/>
      <c r="AF9" s="35"/>
      <c r="AG9" s="41"/>
      <c r="AH9" s="41">
        <v>81</v>
      </c>
      <c r="AI9" s="41"/>
      <c r="AJ9" s="41">
        <v>94</v>
      </c>
      <c r="AK9" s="26">
        <f t="shared" si="0"/>
        <v>1.1604938271604939</v>
      </c>
      <c r="AL9" s="30">
        <v>65</v>
      </c>
      <c r="AN9" s="30">
        <v>158</v>
      </c>
      <c r="AP9" s="30">
        <v>66</v>
      </c>
    </row>
    <row r="10" spans="1:47" ht="17.25" customHeight="1">
      <c r="A10" s="27">
        <v>9</v>
      </c>
      <c r="B10" s="28" t="s">
        <v>82</v>
      </c>
      <c r="C10" s="29" t="str">
        <f t="shared" ref="C10:C22" si="1">E10</f>
        <v>{"zust_Gemeinde":"Münchenbuchsee","zust_SozTeam":"Sozialarbeit Bern 1","zust_SozMitarbeiter":"Bern Sozialarbeiterin 1A","zust_SachbTeam":"Sachbearbeitung Bern","zust_SachbMitarbeiter":"Bern Sachbearbeiterin"}</v>
      </c>
      <c r="D10" s="41"/>
      <c r="E10" s="41" t="str">
        <f t="shared" ref="E10:E22" si="2">F10&amp;G10&amp;H10&amp;I10&amp;J10&amp;K10&amp;L10&amp;M10&amp;N10&amp;O10&amp;P10&amp;Q10&amp;R10&amp;S10&amp;T10&amp;U10&amp;V10&amp;W10&amp;X10</f>
        <v>{"zust_Gemeinde":"Münchenbuchsee","zust_SozTeam":"Sozialarbeit Bern 1","zust_SozMitarbeiter":"Bern Sozialarbeiterin 1A","zust_SachbTeam":"Sachbearbeitung Bern","zust_SachbMitarbeiter":"Bern Sachbearbeiterin"}</v>
      </c>
      <c r="F10" s="95" t="s">
        <v>83</v>
      </c>
      <c r="G10" s="41" t="s">
        <v>84</v>
      </c>
      <c r="H10" s="95" t="s">
        <v>85</v>
      </c>
      <c r="I10" s="41" t="s">
        <v>46</v>
      </c>
      <c r="J10" s="95" t="s">
        <v>86</v>
      </c>
      <c r="K10" s="41" t="s">
        <v>87</v>
      </c>
      <c r="L10" s="95" t="s">
        <v>88</v>
      </c>
      <c r="M10" s="41" t="s">
        <v>89</v>
      </c>
      <c r="N10" s="95" t="s">
        <v>90</v>
      </c>
      <c r="O10" s="41" t="s">
        <v>91</v>
      </c>
      <c r="P10" s="95" t="s">
        <v>34</v>
      </c>
      <c r="Q10" s="41"/>
      <c r="R10" s="95"/>
      <c r="S10" s="41"/>
      <c r="T10" s="95"/>
      <c r="U10" s="41"/>
      <c r="V10" s="95"/>
      <c r="W10" s="41"/>
      <c r="X10" s="41"/>
      <c r="Y10" s="41"/>
      <c r="Z10" s="41"/>
      <c r="AA10" s="41"/>
      <c r="AB10" s="41"/>
      <c r="AC10" s="41"/>
      <c r="AD10" s="41"/>
      <c r="AE10" s="41"/>
      <c r="AF10" s="35"/>
      <c r="AG10" s="41"/>
      <c r="AH10" s="41">
        <v>1159</v>
      </c>
      <c r="AI10" s="41"/>
      <c r="AJ10" s="41">
        <v>1171</v>
      </c>
      <c r="AK10" s="26">
        <f t="shared" si="0"/>
        <v>1.010353753235548</v>
      </c>
      <c r="AL10" s="30">
        <v>1160</v>
      </c>
      <c r="AN10" s="30">
        <v>1210</v>
      </c>
      <c r="AP10" s="30">
        <v>1146</v>
      </c>
    </row>
    <row r="11" spans="1:47" ht="17.25" customHeight="1">
      <c r="A11" s="27">
        <v>10</v>
      </c>
      <c r="B11" s="28" t="s">
        <v>92</v>
      </c>
      <c r="C11" s="29" t="str">
        <f t="shared" ca="1" si="1"/>
        <v>{"dossierBezeichnung":p.DossierName8,"eroeffnetAm":"05.11.2025","dossierSprache":"Deutsch"}</v>
      </c>
      <c r="D11" s="41"/>
      <c r="E11" s="29" t="str">
        <f t="shared" ca="1" si="2"/>
        <v>{"dossierBezeichnung":p.DossierName8,"eroeffnetAm":"05.11.2025","dossierSprache":"Deutsch"}</v>
      </c>
      <c r="F11" s="95" t="s">
        <v>93</v>
      </c>
      <c r="G11" s="106" t="str">
        <f>G45</f>
        <v>p.DossierName8</v>
      </c>
      <c r="H11" s="95" t="s">
        <v>94</v>
      </c>
      <c r="I11" s="105" t="str">
        <f ca="1">TEXT(TEXT(TODAY(),"DD")&amp;"."&amp;TEXT(TODAY(),"MM")&amp;"."&amp;TEXT(TODAY(),"YYYY"),"DD.MM.YYYY")</f>
        <v>05.11.2025</v>
      </c>
      <c r="J11" s="95" t="s">
        <v>95</v>
      </c>
      <c r="K11" s="41" t="s">
        <v>56</v>
      </c>
      <c r="L11" s="95" t="s">
        <v>34</v>
      </c>
      <c r="M11" s="41"/>
      <c r="N11" s="95"/>
      <c r="O11" s="41"/>
      <c r="P11" s="95"/>
      <c r="Q11" s="41"/>
      <c r="R11" s="95"/>
      <c r="S11" s="41"/>
      <c r="T11" s="95"/>
      <c r="U11" s="41"/>
      <c r="V11" s="95"/>
      <c r="W11" s="41"/>
      <c r="X11" s="41"/>
      <c r="Y11" s="41"/>
      <c r="Z11" s="41"/>
      <c r="AA11" s="41"/>
      <c r="AB11" s="41"/>
      <c r="AC11" s="41"/>
      <c r="AD11" s="41"/>
      <c r="AE11" s="41"/>
      <c r="AF11" s="35"/>
      <c r="AG11" s="41"/>
      <c r="AH11" s="41">
        <v>4199</v>
      </c>
      <c r="AI11" s="41"/>
      <c r="AJ11" s="41">
        <v>4049</v>
      </c>
      <c r="AK11" s="26">
        <f t="shared" si="0"/>
        <v>0.96427720885925217</v>
      </c>
      <c r="AL11" s="30">
        <v>4140</v>
      </c>
      <c r="AN11" s="30">
        <v>4100</v>
      </c>
      <c r="AP11" s="30">
        <v>3990</v>
      </c>
    </row>
    <row r="12" spans="1:47" ht="17.25" customHeight="1">
      <c r="A12" s="27">
        <v>11</v>
      </c>
      <c r="B12" s="28" t="s">
        <v>96</v>
      </c>
      <c r="C12" s="29" t="str">
        <f>E12</f>
        <v>{"dossierInstitution":p.DossierName8,"klientschaft":`${p.FamilyName8}, ${p.ManFirstName8}`,"buttonBewilligung":"Anfragen","checkStatus":"In Bearbeitung"}</v>
      </c>
      <c r="E12" s="29" t="str">
        <f t="shared" ref="E12:E16" si="3">F12&amp;G12&amp;H12&amp;I12&amp;J12&amp;K12&amp;L12&amp;M12&amp;N12&amp;O12&amp;P12&amp;Q12&amp;R12&amp;S12&amp;T12&amp;U12&amp;V12&amp;W12&amp;X12</f>
        <v>{"dossierInstitution":p.DossierName8,"klientschaft":`${p.FamilyName8}, ${p.ManFirstName8}`,"buttonBewilligung":"Anfragen","checkStatus":"In Bearbeitung"}</v>
      </c>
      <c r="F12" s="31" t="s">
        <v>97</v>
      </c>
      <c r="G12" s="94" t="str">
        <f>G11</f>
        <v>p.DossierName8</v>
      </c>
      <c r="H12" s="31" t="s">
        <v>98</v>
      </c>
      <c r="I12" s="205" t="str">
        <f>"${"&amp;$G$5&amp;"}, ${"&amp;$I$5&amp;"}"</f>
        <v>${p.FamilyName8}, ${p.ManFirstName8}</v>
      </c>
      <c r="J12" s="31" t="s">
        <v>99</v>
      </c>
      <c r="K12" s="105" t="s">
        <v>100</v>
      </c>
      <c r="L12" s="31" t="s">
        <v>101</v>
      </c>
      <c r="M12" s="31" t="s">
        <v>102</v>
      </c>
      <c r="N12" s="31" t="s">
        <v>34</v>
      </c>
      <c r="AF12" s="35"/>
      <c r="AH12" s="41">
        <v>1522</v>
      </c>
      <c r="AI12" s="41"/>
      <c r="AJ12" s="41">
        <v>1540</v>
      </c>
      <c r="AK12" s="26">
        <f t="shared" si="0"/>
        <v>1.011826544021025</v>
      </c>
      <c r="AL12" s="30">
        <v>1522</v>
      </c>
      <c r="AN12" s="30">
        <v>9584</v>
      </c>
      <c r="AP12" s="30">
        <v>9745</v>
      </c>
    </row>
    <row r="13" spans="1:47" ht="17.25" customHeight="1">
      <c r="A13" s="27">
        <v>12</v>
      </c>
      <c r="B13" s="28" t="s">
        <v>103</v>
      </c>
      <c r="C13" s="29" t="str">
        <f>E13</f>
        <v>{"username":"Bern.Sachbearbeiterin@diartis.ch","password":"XXxa22?pdTA66-S@"}</v>
      </c>
      <c r="D13" s="41"/>
      <c r="E13" s="29" t="str">
        <f t="shared" si="3"/>
        <v>{"username":"Bern.Sachbearbeiterin@diartis.ch","password":"XXxa22?pdTA66-S@"}</v>
      </c>
      <c r="F13" s="95" t="s">
        <v>27</v>
      </c>
      <c r="G13" s="96" t="s">
        <v>28</v>
      </c>
      <c r="H13" s="95" t="s">
        <v>29</v>
      </c>
      <c r="I13" s="107" t="s">
        <v>30</v>
      </c>
      <c r="J13" s="95" t="s">
        <v>34</v>
      </c>
      <c r="K13" s="105"/>
      <c r="L13" s="95"/>
      <c r="M13" s="41"/>
      <c r="N13" s="95"/>
      <c r="O13" s="41"/>
      <c r="P13" s="95"/>
      <c r="Q13" s="41"/>
      <c r="R13" s="95"/>
      <c r="S13" s="41"/>
      <c r="T13" s="95"/>
      <c r="U13" s="41"/>
      <c r="V13" s="95"/>
      <c r="W13" s="41"/>
      <c r="X13" s="41"/>
      <c r="Y13" s="41"/>
      <c r="Z13" s="41"/>
      <c r="AA13" s="41"/>
      <c r="AB13" s="41"/>
      <c r="AC13" s="41"/>
      <c r="AD13" s="41"/>
      <c r="AE13" s="41"/>
      <c r="AF13" s="35"/>
      <c r="AG13" s="41"/>
      <c r="AH13" s="41">
        <v>10701</v>
      </c>
      <c r="AI13" s="41"/>
      <c r="AJ13" s="41">
        <v>10596</v>
      </c>
      <c r="AK13" s="26">
        <f t="shared" si="0"/>
        <v>0.99018783291281187</v>
      </c>
      <c r="AL13" s="30">
        <v>14665</v>
      </c>
      <c r="AN13" s="30">
        <v>8024</v>
      </c>
      <c r="AP13" s="30">
        <v>8508</v>
      </c>
    </row>
    <row r="14" spans="1:47" ht="17.25" customHeight="1">
      <c r="A14" s="27">
        <v>13</v>
      </c>
      <c r="B14" s="28" t="s">
        <v>96</v>
      </c>
      <c r="C14" s="29" t="str">
        <f>E14</f>
        <v>{"dossierInstitution":p.DossierName8,"klientschaft":`${p.FamilyName8}, ${p.ManFirstName8}`,"buttonBewilligung":"Bewilligen","checkStatus":"Bewilligt"}</v>
      </c>
      <c r="E14" s="29" t="str">
        <f t="shared" si="3"/>
        <v>{"dossierInstitution":p.DossierName8,"klientschaft":`${p.FamilyName8}, ${p.ManFirstName8}`,"buttonBewilligung":"Bewilligen","checkStatus":"Bewilligt"}</v>
      </c>
      <c r="F14" s="31" t="s">
        <v>97</v>
      </c>
      <c r="G14" s="94" t="str">
        <f>G12</f>
        <v>p.DossierName8</v>
      </c>
      <c r="H14" s="31" t="s">
        <v>98</v>
      </c>
      <c r="I14" s="30" t="str">
        <f>I12</f>
        <v>${p.FamilyName8}, ${p.ManFirstName8}</v>
      </c>
      <c r="J14" s="31" t="s">
        <v>99</v>
      </c>
      <c r="K14" s="105" t="s">
        <v>105</v>
      </c>
      <c r="L14" s="31" t="s">
        <v>101</v>
      </c>
      <c r="M14" s="31" t="s">
        <v>106</v>
      </c>
      <c r="N14" s="31" t="s">
        <v>34</v>
      </c>
      <c r="AF14" s="35"/>
      <c r="AH14" s="41">
        <v>10109</v>
      </c>
      <c r="AI14" s="41"/>
      <c r="AJ14" s="41">
        <v>9610</v>
      </c>
      <c r="AK14" s="26">
        <f t="shared" si="0"/>
        <v>0.9506380453061628</v>
      </c>
      <c r="AL14" s="30">
        <v>10073</v>
      </c>
      <c r="AN14" s="30">
        <v>12651</v>
      </c>
      <c r="AP14" s="30">
        <v>11448</v>
      </c>
    </row>
    <row r="15" spans="1:47" ht="17.25" customHeight="1">
      <c r="A15" s="27">
        <v>14</v>
      </c>
      <c r="B15" s="28" t="s">
        <v>103</v>
      </c>
      <c r="C15" s="108" t="s">
        <v>107</v>
      </c>
      <c r="E15" s="29" t="str">
        <f t="shared" si="3"/>
        <v>{"username":"bern.sozialarbeiterin1b@diartis.ch","password":"VUrh27!yxJA95?W."}</v>
      </c>
      <c r="F15" s="95" t="s">
        <v>27</v>
      </c>
      <c r="G15" s="30" t="str">
        <f>G3</f>
        <v>bern.sozialarbeiterin1b@diartis.ch</v>
      </c>
      <c r="H15" s="95" t="s">
        <v>29</v>
      </c>
      <c r="I15" s="30" t="str">
        <f>I3</f>
        <v>VUrh27!yxJA95?W.</v>
      </c>
      <c r="J15" s="95" t="s">
        <v>34</v>
      </c>
      <c r="L15" s="95"/>
      <c r="N15" s="95"/>
      <c r="P15" s="95"/>
      <c r="R15" s="95"/>
      <c r="T15" s="95"/>
      <c r="V15" s="95"/>
      <c r="AF15" s="35"/>
      <c r="AH15" s="41">
        <v>9903</v>
      </c>
      <c r="AI15" s="41"/>
      <c r="AJ15" s="41">
        <v>10024</v>
      </c>
      <c r="AK15" s="26">
        <f t="shared" si="0"/>
        <v>1.0122185196405129</v>
      </c>
      <c r="AL15" s="30">
        <v>9818</v>
      </c>
      <c r="AN15" s="30">
        <v>8486</v>
      </c>
      <c r="AP15" s="30">
        <v>7639</v>
      </c>
    </row>
    <row r="16" spans="1:47" ht="17.25" customHeight="1">
      <c r="A16" s="27">
        <v>16</v>
      </c>
      <c r="B16" s="109" t="s">
        <v>108</v>
      </c>
      <c r="C16" s="108" t="str">
        <f>E16</f>
        <v>{"searchDossierOrKlient":p.DossierName8,"resultType":"Dossiers"}</v>
      </c>
      <c r="E16" s="29" t="str">
        <f t="shared" si="3"/>
        <v>{"searchDossierOrKlient":p.DossierName8,"resultType":"Dossiers"}</v>
      </c>
      <c r="F16" s="31" t="s">
        <v>109</v>
      </c>
      <c r="G16" s="94" t="str">
        <f>G14</f>
        <v>p.DossierName8</v>
      </c>
      <c r="H16" s="31" t="s">
        <v>110</v>
      </c>
      <c r="I16" s="30" t="s">
        <v>111</v>
      </c>
      <c r="J16" s="31" t="s">
        <v>34</v>
      </c>
      <c r="AF16" s="35"/>
      <c r="AH16" s="41">
        <v>9652</v>
      </c>
      <c r="AI16" s="41"/>
      <c r="AJ16" s="41">
        <v>9517</v>
      </c>
      <c r="AK16" s="26">
        <f t="shared" si="0"/>
        <v>0.98601326150020718</v>
      </c>
      <c r="AL16" s="30">
        <v>9742</v>
      </c>
      <c r="AN16" s="30">
        <v>12101</v>
      </c>
      <c r="AP16" s="30">
        <v>10853</v>
      </c>
    </row>
    <row r="17" spans="1:42" ht="17.25" customHeight="1">
      <c r="A17" s="27">
        <v>18</v>
      </c>
      <c r="B17" s="111" t="s">
        <v>113</v>
      </c>
      <c r="C17" s="29" t="str">
        <f t="shared" si="1"/>
        <v>{"vermieter":"Graber Immobilien","wohnungsgrosse":"4 Zimmer","mietkosten":1200,"nebenkosten":100}</v>
      </c>
      <c r="D17" s="41"/>
      <c r="E17" s="29" t="str">
        <f t="shared" si="2"/>
        <v>{"vermieter":"Graber Immobilien","wohnungsgrosse":"4 Zimmer","mietkosten":1200,"nebenkosten":100}</v>
      </c>
      <c r="F17" s="95" t="s">
        <v>114</v>
      </c>
      <c r="G17" s="112" t="s">
        <v>115</v>
      </c>
      <c r="H17" s="95" t="s">
        <v>116</v>
      </c>
      <c r="I17" s="41" t="s">
        <v>117</v>
      </c>
      <c r="J17" s="95" t="s">
        <v>118</v>
      </c>
      <c r="K17" s="41">
        <v>1200</v>
      </c>
      <c r="L17" s="95" t="s">
        <v>119</v>
      </c>
      <c r="M17" s="41">
        <v>100</v>
      </c>
      <c r="N17" s="95" t="s">
        <v>120</v>
      </c>
      <c r="O17" s="41"/>
      <c r="P17" s="95"/>
      <c r="Q17" s="41"/>
      <c r="R17" s="95"/>
      <c r="S17" s="41"/>
      <c r="T17" s="95"/>
      <c r="U17" s="41"/>
      <c r="V17" s="95"/>
      <c r="W17" s="41"/>
      <c r="X17" s="41"/>
      <c r="Y17" s="41"/>
      <c r="Z17" s="41"/>
      <c r="AA17" s="41"/>
      <c r="AB17" s="41"/>
      <c r="AC17" s="41"/>
      <c r="AD17" s="41"/>
      <c r="AE17" s="41"/>
      <c r="AF17" s="35"/>
      <c r="AG17" s="41"/>
      <c r="AH17" s="41">
        <v>5632</v>
      </c>
      <c r="AI17" s="41"/>
      <c r="AJ17" s="41">
        <v>5705</v>
      </c>
      <c r="AK17" s="26">
        <f t="shared" si="0"/>
        <v>1.0129616477272727</v>
      </c>
      <c r="AL17" s="30">
        <v>6132</v>
      </c>
      <c r="AN17" s="30">
        <v>4698</v>
      </c>
      <c r="AP17" s="30">
        <v>5250</v>
      </c>
    </row>
    <row r="18" spans="1:42" ht="17.25" customHeight="1">
      <c r="A18" s="27">
        <v>19</v>
      </c>
      <c r="B18" s="28" t="s">
        <v>121</v>
      </c>
      <c r="C18" s="29" t="str">
        <f t="shared" ca="1" si="1"/>
        <v>{"name":p.FamilyName8,"vorname":p.ManFirstName9,"geburtsdatum":p.BirthdayKid9,"ahvNumber":p.AHVNumber32,"personInhausltVon":"20.12.2021","inHauslt":"Übernehmen","ereignis":"Eheschliessung"}</v>
      </c>
      <c r="D18" s="41"/>
      <c r="E18" s="29" t="str">
        <f t="shared" ca="1" si="2"/>
        <v>{"name":p.FamilyName8,"vorname":p.ManFirstName9,"geburtsdatum":p.BirthdayKid9,"ahvNumber":p.AHVNumber32,"personInhausltVon":"20.12.2021","inHauslt":"Übernehmen","ereignis":"Eheschliessung"}</v>
      </c>
      <c r="F18" s="95" t="s">
        <v>48</v>
      </c>
      <c r="G18" s="30" t="str">
        <f>G5</f>
        <v>p.FamilyName8</v>
      </c>
      <c r="H18" s="95" t="s">
        <v>49</v>
      </c>
      <c r="I18" s="30" t="str">
        <f>H48</f>
        <v>p.ManFirstName9</v>
      </c>
      <c r="J18" s="95" t="s">
        <v>122</v>
      </c>
      <c r="K18" s="105" t="str">
        <f>J48</f>
        <v>p.BirthdayKid9</v>
      </c>
      <c r="L18" s="95" t="s">
        <v>54</v>
      </c>
      <c r="M18" s="30" t="str">
        <f>I48</f>
        <v>p.AHVNumber32</v>
      </c>
      <c r="N18" s="95" t="s">
        <v>123</v>
      </c>
      <c r="O18" s="105" t="str">
        <f ca="1">O7</f>
        <v>20.12.2021</v>
      </c>
      <c r="P18" s="95" t="s">
        <v>124</v>
      </c>
      <c r="Q18" s="41" t="s">
        <v>125</v>
      </c>
      <c r="R18" s="95" t="s">
        <v>126</v>
      </c>
      <c r="S18" s="41" t="s">
        <v>127</v>
      </c>
      <c r="T18" s="95" t="s">
        <v>34</v>
      </c>
      <c r="U18" s="41"/>
      <c r="V18" s="95"/>
      <c r="W18" s="41"/>
      <c r="X18" s="41"/>
      <c r="Y18" s="41"/>
      <c r="Z18" s="41"/>
      <c r="AA18" s="41"/>
      <c r="AB18" s="41"/>
      <c r="AC18" s="41"/>
      <c r="AD18" s="41"/>
      <c r="AE18" s="41"/>
      <c r="AF18" s="35"/>
      <c r="AG18" s="41"/>
      <c r="AH18" s="41">
        <v>3543</v>
      </c>
      <c r="AI18" s="41"/>
      <c r="AJ18" s="41">
        <v>3481</v>
      </c>
      <c r="AK18" s="26">
        <f t="shared" si="0"/>
        <v>0.98250070561670899</v>
      </c>
      <c r="AL18" s="30">
        <v>3647</v>
      </c>
      <c r="AN18" s="30">
        <v>7255</v>
      </c>
      <c r="AP18" s="30">
        <v>4297</v>
      </c>
    </row>
    <row r="19" spans="1:42" ht="17.25" customHeight="1">
      <c r="A19" s="27">
        <v>20</v>
      </c>
      <c r="B19" s="28" t="s">
        <v>121</v>
      </c>
      <c r="C19" s="29" t="str">
        <f t="shared" ca="1" si="1"/>
        <v>{"name":p.FamilyName8,"vorname":p.WomanFirstName8,"geburtsdatum":p.BirthdayAdult9,"ahvNumber":p.AHVNumber30,"personInhausltVon":"20.12.2021","inHauslt":"Übernehmen","ereignis":"Geburt"}</v>
      </c>
      <c r="D19" s="41"/>
      <c r="E19" s="29" t="str">
        <f t="shared" ca="1" si="2"/>
        <v>{"name":p.FamilyName8,"vorname":p.WomanFirstName8,"geburtsdatum":p.BirthdayAdult9,"ahvNumber":p.AHVNumber30,"personInhausltVon":"20.12.2021","inHauslt":"Übernehmen","ereignis":"Geburt"}</v>
      </c>
      <c r="F19" s="95" t="s">
        <v>48</v>
      </c>
      <c r="G19" s="30" t="str">
        <f>G18</f>
        <v>p.FamilyName8</v>
      </c>
      <c r="H19" s="95" t="s">
        <v>49</v>
      </c>
      <c r="I19" s="30" t="str">
        <f>H46</f>
        <v>p.WomanFirstName8</v>
      </c>
      <c r="J19" s="95" t="s">
        <v>122</v>
      </c>
      <c r="K19" s="105" t="str">
        <f>J46</f>
        <v>p.BirthdayAdult9</v>
      </c>
      <c r="L19" s="95" t="s">
        <v>54</v>
      </c>
      <c r="M19" s="30" t="str">
        <f>I46</f>
        <v>p.AHVNumber30</v>
      </c>
      <c r="N19" s="95" t="s">
        <v>123</v>
      </c>
      <c r="O19" s="105" t="str">
        <f ca="1">O18</f>
        <v>20.12.2021</v>
      </c>
      <c r="P19" s="95" t="s">
        <v>124</v>
      </c>
      <c r="Q19" s="41" t="s">
        <v>125</v>
      </c>
      <c r="R19" s="95" t="s">
        <v>126</v>
      </c>
      <c r="S19" s="41" t="s">
        <v>128</v>
      </c>
      <c r="T19" s="95" t="s">
        <v>34</v>
      </c>
      <c r="U19" s="41"/>
      <c r="V19" s="95"/>
      <c r="W19" s="41"/>
      <c r="X19" s="41"/>
      <c r="Y19" s="41"/>
      <c r="Z19" s="41"/>
      <c r="AA19" s="41"/>
      <c r="AB19" s="41"/>
      <c r="AC19" s="41"/>
      <c r="AD19" s="41"/>
      <c r="AE19" s="41"/>
      <c r="AF19" s="35"/>
      <c r="AG19" s="41"/>
      <c r="AH19" s="41">
        <v>2324</v>
      </c>
      <c r="AI19" s="41"/>
      <c r="AJ19" s="41">
        <v>2582</v>
      </c>
      <c r="AK19" s="26">
        <f t="shared" si="0"/>
        <v>1.1110154905335627</v>
      </c>
      <c r="AL19" s="30">
        <v>2417</v>
      </c>
      <c r="AN19" s="30">
        <v>2997</v>
      </c>
      <c r="AP19" s="30">
        <v>3004</v>
      </c>
    </row>
    <row r="20" spans="1:42" ht="17.25" customHeight="1" thickBot="1">
      <c r="A20" s="27">
        <v>21</v>
      </c>
      <c r="B20" s="28" t="s">
        <v>121</v>
      </c>
      <c r="C20" s="29" t="str">
        <f t="shared" ca="1" si="1"/>
        <v>{"name":p.FamilyName8,"vorname":p.GirlFirstName8,"geburtsdatum":p.BirthdayKid8,"ahvNumber":p.AHVNumber31,"personInhausltVon":"20.12.2021","inHauslt":"Übernehmen","ereignis":"Geburt"}</v>
      </c>
      <c r="D20" s="41"/>
      <c r="E20" s="29" t="str">
        <f t="shared" ca="1" si="2"/>
        <v>{"name":p.FamilyName8,"vorname":p.GirlFirstName8,"geburtsdatum":p.BirthdayKid8,"ahvNumber":p.AHVNumber31,"personInhausltVon":"20.12.2021","inHauslt":"Übernehmen","ereignis":"Geburt"}</v>
      </c>
      <c r="F20" s="95" t="s">
        <v>48</v>
      </c>
      <c r="G20" s="30" t="str">
        <f>G19</f>
        <v>p.FamilyName8</v>
      </c>
      <c r="H20" s="95" t="s">
        <v>49</v>
      </c>
      <c r="I20" s="30" t="str">
        <f>H47</f>
        <v>p.GirlFirstName8</v>
      </c>
      <c r="J20" s="95" t="s">
        <v>122</v>
      </c>
      <c r="K20" s="105" t="str">
        <f>J47</f>
        <v>p.BirthdayKid8</v>
      </c>
      <c r="L20" s="95" t="s">
        <v>54</v>
      </c>
      <c r="M20" s="30" t="str">
        <f>I47</f>
        <v>p.AHVNumber31</v>
      </c>
      <c r="N20" s="95" t="s">
        <v>123</v>
      </c>
      <c r="O20" s="105" t="str">
        <f ca="1">O19</f>
        <v>20.12.2021</v>
      </c>
      <c r="P20" s="95" t="s">
        <v>124</v>
      </c>
      <c r="Q20" s="41" t="s">
        <v>125</v>
      </c>
      <c r="R20" s="95" t="s">
        <v>126</v>
      </c>
      <c r="S20" s="41" t="s">
        <v>128</v>
      </c>
      <c r="T20" s="95" t="s">
        <v>34</v>
      </c>
      <c r="U20" s="41"/>
      <c r="V20" s="95"/>
      <c r="W20" s="41"/>
      <c r="X20" s="41"/>
      <c r="Y20" s="41"/>
      <c r="Z20" s="41"/>
      <c r="AA20" s="41"/>
      <c r="AB20" s="41"/>
      <c r="AC20" s="41"/>
      <c r="AD20" s="41"/>
      <c r="AE20" s="41"/>
      <c r="AF20" s="35"/>
      <c r="AG20" s="41"/>
      <c r="AH20" s="41">
        <v>2702</v>
      </c>
      <c r="AI20" s="41"/>
      <c r="AJ20" s="41">
        <v>2886</v>
      </c>
      <c r="AK20" s="26">
        <f t="shared" si="0"/>
        <v>1.0680977054034049</v>
      </c>
      <c r="AL20" s="30">
        <v>5550</v>
      </c>
      <c r="AN20" s="30">
        <v>2590</v>
      </c>
      <c r="AP20" s="30">
        <v>2292</v>
      </c>
    </row>
    <row r="21" spans="1:42" ht="16.5" customHeight="1" thickBot="1">
      <c r="A21" s="37">
        <v>23</v>
      </c>
      <c r="B21" s="242" t="s">
        <v>129</v>
      </c>
      <c r="C21" s="240" t="str">
        <f t="shared" si="1"/>
        <v>{"dossier":p.DossierName8,"klientschaft":`${p.FamilyName8}, ${p.ManFirstName8}`}</v>
      </c>
      <c r="D21" s="235"/>
      <c r="E21" s="212" t="str">
        <f t="shared" si="2"/>
        <v>{"dossier":p.DossierName8,"klientschaft":`${p.FamilyName8}, ${p.ManFirstName8}`}</v>
      </c>
      <c r="F21" s="205" t="s">
        <v>130</v>
      </c>
      <c r="G21" s="226" t="str">
        <f>G16</f>
        <v>p.DossierName8</v>
      </c>
      <c r="H21" s="204" t="s">
        <v>98</v>
      </c>
      <c r="I21" s="205" t="str">
        <f>"${"&amp;$G$5&amp;"}, ${"&amp;$I$5&amp;"}"</f>
        <v>${p.FamilyName8}, ${p.ManFirstName8}</v>
      </c>
      <c r="J21" s="204" t="s">
        <v>131</v>
      </c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35"/>
      <c r="X21" s="235"/>
      <c r="Y21" s="235"/>
      <c r="Z21" s="235"/>
      <c r="AA21" s="235"/>
      <c r="AB21" s="235"/>
      <c r="AC21" s="235"/>
      <c r="AD21" s="235"/>
      <c r="AE21" s="235"/>
      <c r="AF21" s="234"/>
      <c r="AG21" s="235"/>
      <c r="AH21" s="215">
        <v>4761</v>
      </c>
      <c r="AI21" s="215"/>
      <c r="AJ21" s="215">
        <v>3094</v>
      </c>
      <c r="AK21" s="191">
        <f t="shared" si="0"/>
        <v>0.64986347406007139</v>
      </c>
      <c r="AL21" s="215">
        <v>3362</v>
      </c>
      <c r="AN21" s="30">
        <v>2888</v>
      </c>
      <c r="AP21" s="30">
        <v>2367</v>
      </c>
    </row>
    <row r="22" spans="1:42" ht="18" customHeight="1" thickBot="1">
      <c r="A22" s="37">
        <v>24</v>
      </c>
      <c r="B22" s="243" t="s">
        <v>132</v>
      </c>
      <c r="C22" s="240" t="str">
        <f t="shared" ca="1" si="1"/>
        <v>{"panelTitle":"Erwerbssituation / Einnahmen","zahlbarDurch":"BKW Energie AG","pensumm":"100","betrag":"1000","gueltigVon":"01.01.2024","gueltigBis":"31.12.2025","checkbox":"x"}</v>
      </c>
      <c r="D22" s="235"/>
      <c r="E22" s="212" t="str">
        <f t="shared" ca="1" si="2"/>
        <v>{"panelTitle":"Erwerbssituation / Einnahmen","zahlbarDurch":"BKW Energie AG","pensumm":"100","betrag":"1000","gueltigVon":"01.01.2024","gueltigBis":"31.12.2025","checkbox":"x"}</v>
      </c>
      <c r="F22" s="244" t="s">
        <v>133</v>
      </c>
      <c r="G22" s="204" t="s">
        <v>134</v>
      </c>
      <c r="H22" s="204" t="s">
        <v>135</v>
      </c>
      <c r="I22" s="204" t="s">
        <v>136</v>
      </c>
      <c r="J22" s="204" t="s">
        <v>137</v>
      </c>
      <c r="K22" s="204">
        <v>100</v>
      </c>
      <c r="L22" s="204" t="s">
        <v>138</v>
      </c>
      <c r="M22" s="204">
        <v>1000</v>
      </c>
      <c r="N22" s="204" t="s">
        <v>139</v>
      </c>
      <c r="O22" s="204" t="str">
        <f ca="1">"01.01."&amp;YEAR((TODAY()-366))</f>
        <v>01.01.2024</v>
      </c>
      <c r="P22" s="204" t="s">
        <v>140</v>
      </c>
      <c r="Q22" s="223" t="str">
        <f ca="1">"31.12."&amp;YEAR(TODAY())</f>
        <v>31.12.2025</v>
      </c>
      <c r="R22" s="204" t="s">
        <v>141</v>
      </c>
      <c r="S22" s="204" t="s">
        <v>142</v>
      </c>
      <c r="T22" s="204" t="s">
        <v>34</v>
      </c>
      <c r="U22" s="204"/>
      <c r="V22" s="204"/>
      <c r="W22" s="235"/>
      <c r="X22" s="235"/>
      <c r="Y22" s="235"/>
      <c r="Z22" s="235"/>
      <c r="AA22" s="235"/>
      <c r="AB22" s="235"/>
      <c r="AC22" s="235"/>
      <c r="AD22" s="235"/>
      <c r="AE22" s="235"/>
      <c r="AF22" s="231"/>
      <c r="AG22" s="235"/>
      <c r="AK22" s="191" t="e">
        <f t="shared" si="0"/>
        <v>#DIV/0!</v>
      </c>
      <c r="AL22" s="30">
        <v>7357</v>
      </c>
      <c r="AN22" s="30">
        <v>6315</v>
      </c>
      <c r="AP22" s="30">
        <v>7017</v>
      </c>
    </row>
    <row r="23" spans="1:42" ht="16.5" customHeight="1" thickBot="1">
      <c r="A23" s="37">
        <v>25</v>
      </c>
      <c r="B23" s="242" t="s">
        <v>108</v>
      </c>
      <c r="C23" s="240" t="str">
        <f>E23</f>
        <v>{"searchDossierOrKlient":p.DossierName8,"resultType":"Dossiers"}</v>
      </c>
      <c r="D23" s="52"/>
      <c r="E23" s="212" t="str">
        <f>F23&amp;G23&amp;H23&amp;I23&amp;J23&amp;K23&amp;L23&amp;M23&amp;N23&amp;O23&amp;P23&amp;Q23&amp;R23&amp;S23&amp;T23&amp;U23&amp;V23&amp;W23&amp;X23</f>
        <v>{"searchDossierOrKlient":p.DossierName8,"resultType":"Dossiers"}</v>
      </c>
      <c r="F23" s="205" t="s">
        <v>109</v>
      </c>
      <c r="G23" s="223" t="str">
        <f>G14</f>
        <v>p.DossierName8</v>
      </c>
      <c r="H23" s="205" t="s">
        <v>110</v>
      </c>
      <c r="I23" s="205" t="s">
        <v>111</v>
      </c>
      <c r="J23" s="205" t="s">
        <v>34</v>
      </c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52"/>
      <c r="X23" s="52"/>
      <c r="Y23" s="52"/>
      <c r="Z23" s="52"/>
      <c r="AA23" s="52"/>
      <c r="AB23" s="52"/>
      <c r="AC23" s="52"/>
      <c r="AD23" s="52"/>
      <c r="AE23" s="52"/>
      <c r="AF23" s="234"/>
      <c r="AG23" s="52"/>
      <c r="AH23" s="215">
        <v>4873</v>
      </c>
      <c r="AI23" s="215"/>
      <c r="AJ23" s="215">
        <v>4740</v>
      </c>
      <c r="AK23" s="191">
        <f t="shared" si="0"/>
        <v>0.97270675148778984</v>
      </c>
      <c r="AL23" s="215">
        <v>3510</v>
      </c>
      <c r="AN23" s="30">
        <v>3375</v>
      </c>
      <c r="AP23" s="30">
        <v>3550</v>
      </c>
    </row>
    <row r="24" spans="1:42" s="29" customFormat="1" ht="39" customHeight="1">
      <c r="A24" s="245">
        <v>33</v>
      </c>
      <c r="B24" s="240" t="s">
        <v>232</v>
      </c>
      <c r="C24" s="246" t="str">
        <f ca="1">F24&amp;G24&amp;H24&amp;I24&amp;J24&amp;K24&amp;L24&amp;M24&amp;N24&amp;O24 &amp;P24&amp;Q24&amp;R24&amp;S24&amp;T24&amp;U24&amp;V24&amp;W24&amp;X24&amp;Y24&amp;Z24&amp;AA24&amp;AB24&amp;AC24</f>
        <v>{"Klientschaft":`${p.FamilyName8}, ${p.WomanFirstName8}`,"Gueltigkeit":"01.01.2025 - 31.12.2025","KKasse":"Arcosana AG","VersNummer":"123","GrundPraemie":"45","ZahnInklusive":"ja","Franchise":"100","Bemerkung":"Test"}</v>
      </c>
      <c r="D24" s="22" t="s">
        <v>395</v>
      </c>
      <c r="E24" s="212" t="str">
        <f ca="1">F24&amp;G24&amp;H24&amp;I24&amp;J24&amp;K24&amp;L24&amp;M24&amp;N24&amp;O24&amp;P24&amp;Q24&amp;R24&amp;S24&amp;T24&amp;U24&amp;V24&amp;W24&amp;X24</f>
        <v>{"Klientschaft":`${p.FamilyName8}, ${p.WomanFirstName8}`,"Gueltigkeit":"01.01.2025 - 31.12.2025","KKasse":"Arcosana AG","VersNummer":"123","GrundPraemie":"45","ZahnInklusive":"ja","Franchise":"100","Bemerkung":"Test"}</v>
      </c>
      <c r="F24" s="212" t="s">
        <v>233</v>
      </c>
      <c r="G24" s="205" t="str">
        <f>"${"&amp;$G$19&amp;"}, ${"&amp;$I$19&amp;"}"</f>
        <v>${p.FamilyName8}, ${p.WomanFirstName8}</v>
      </c>
      <c r="H24" s="212" t="s">
        <v>234</v>
      </c>
      <c r="I24" s="212" t="str">
        <f ca="1">"01.01."&amp;YEAR(TODAY())&amp;" - 31.12."&amp;YEAR(TODAY())</f>
        <v>01.01.2025 - 31.12.2025</v>
      </c>
      <c r="J24" s="212" t="s">
        <v>235</v>
      </c>
      <c r="K24" s="212" t="s">
        <v>236</v>
      </c>
      <c r="L24" s="212" t="s">
        <v>237</v>
      </c>
      <c r="M24" s="212">
        <v>123</v>
      </c>
      <c r="N24" s="212" t="s">
        <v>238</v>
      </c>
      <c r="O24" s="212">
        <v>45</v>
      </c>
      <c r="P24" s="212" t="s">
        <v>239</v>
      </c>
      <c r="Q24" s="212" t="s">
        <v>240</v>
      </c>
      <c r="R24" s="212" t="s">
        <v>241</v>
      </c>
      <c r="S24" s="212">
        <v>100</v>
      </c>
      <c r="T24" s="212" t="s">
        <v>242</v>
      </c>
      <c r="U24" s="212" t="s">
        <v>243</v>
      </c>
      <c r="V24" s="212" t="s">
        <v>34</v>
      </c>
      <c r="AH24" s="215"/>
      <c r="AI24" s="215"/>
      <c r="AJ24" s="215"/>
      <c r="AK24" s="191" t="e">
        <f t="shared" si="0"/>
        <v>#DIV/0!</v>
      </c>
      <c r="AL24" s="29">
        <v>2985</v>
      </c>
      <c r="AN24" s="29">
        <v>5313</v>
      </c>
      <c r="AP24" s="29">
        <v>5333</v>
      </c>
    </row>
    <row r="25" spans="1:42" ht="17.25" customHeight="1">
      <c r="A25" s="27">
        <v>33</v>
      </c>
      <c r="B25" s="169" t="s">
        <v>108</v>
      </c>
      <c r="C25" s="29" t="str">
        <f>E25</f>
        <v>{"searchDossierOrKlient":p.DossierName8,"resultType":"Dossiers"}</v>
      </c>
      <c r="E25" s="29" t="str">
        <f>F25&amp;G25&amp;H25&amp;I25&amp;J25&amp;K25&amp;L25&amp;M25&amp;N25&amp;O25&amp;P25&amp;Q25&amp;R25&amp;S25&amp;T25&amp;U25&amp;V25&amp;W25&amp;X25</f>
        <v>{"searchDossierOrKlient":p.DossierName8,"resultType":"Dossiers"}</v>
      </c>
      <c r="F25" s="31" t="s">
        <v>109</v>
      </c>
      <c r="G25" s="105" t="str">
        <f>G14</f>
        <v>p.DossierName8</v>
      </c>
      <c r="H25" s="31" t="s">
        <v>110</v>
      </c>
      <c r="I25" s="30" t="s">
        <v>111</v>
      </c>
      <c r="J25" s="31" t="s">
        <v>34</v>
      </c>
      <c r="AF25" s="35"/>
      <c r="AH25" s="41">
        <v>4873</v>
      </c>
      <c r="AI25" s="41"/>
      <c r="AJ25" s="41">
        <v>4740</v>
      </c>
      <c r="AK25" s="26">
        <f t="shared" ref="AK25" si="4">AJ25/$AH25</f>
        <v>0.97270675148778984</v>
      </c>
      <c r="AL25" s="30">
        <v>5510</v>
      </c>
      <c r="AN25" s="30">
        <v>6021</v>
      </c>
      <c r="AP25" s="30">
        <v>4801</v>
      </c>
    </row>
    <row r="26" spans="1:42" ht="17.25" customHeight="1">
      <c r="A26" s="27">
        <v>27</v>
      </c>
      <c r="B26" s="28" t="s">
        <v>151</v>
      </c>
      <c r="C26" s="29" t="str">
        <f ca="1">E26</f>
        <v>{"entscheidVom":"05.11.2025","begrundung":"Gar keine Begründung","unterstutzungab":"01.11.2025"}</v>
      </c>
      <c r="E26" s="29" t="str">
        <f ca="1">F26&amp;G26&amp;H26&amp;I26&amp;J26&amp;K26&amp;L26&amp;M26&amp;N26&amp;O26&amp;P26&amp;Q26&amp;R26&amp;S26&amp;T26&amp;U26&amp;V26&amp;W26&amp;X26</f>
        <v>{"entscheidVom":"05.11.2025","begrundung":"Gar keine Begründung","unterstutzungab":"01.11.2025"}</v>
      </c>
      <c r="F26" s="31" t="s">
        <v>152</v>
      </c>
      <c r="G26" s="105" t="str">
        <f ca="1">TEXT(TEXT(TODAY(),"DD")&amp;"."&amp;TEXT(TODAY(),"MM")&amp;"."&amp;TEXT(TODAY(),"YYYY"),"DD.MM.YYYY")</f>
        <v>05.11.2025</v>
      </c>
      <c r="H26" s="31" t="s">
        <v>153</v>
      </c>
      <c r="I26" s="30" t="s">
        <v>154</v>
      </c>
      <c r="J26" s="31" t="s">
        <v>155</v>
      </c>
      <c r="K26" s="105" t="str">
        <f ca="1">TEXT(TEXT(1,"DD")&amp;"."&amp;TEXT(TODAY(),"MM")&amp;"."&amp;TEXT(TODAY(),"YYYY"),"DD.MM.YYYY")</f>
        <v>01.11.2025</v>
      </c>
      <c r="L26" s="31" t="s">
        <v>34</v>
      </c>
      <c r="AF26" s="35"/>
      <c r="AH26" s="41">
        <v>5177</v>
      </c>
      <c r="AI26" s="41"/>
      <c r="AJ26" s="41">
        <v>5075</v>
      </c>
      <c r="AK26" s="26">
        <f t="shared" si="0"/>
        <v>0.98029746957697506</v>
      </c>
      <c r="AL26" s="30">
        <v>3031</v>
      </c>
      <c r="AN26" s="30">
        <v>4481</v>
      </c>
      <c r="AP26" s="30">
        <v>5060</v>
      </c>
    </row>
    <row r="27" spans="1:42" ht="17.25" customHeight="1">
      <c r="B27" s="28" t="s">
        <v>156</v>
      </c>
      <c r="C27" s="29" t="str">
        <f ca="1">E27</f>
        <v>{"ubernahmeWohnkostenCFH":"100","uebernahmeWohnkostenVon":"01.11.2025","uebernahmeWohnkostenBis":"27.5.2026","uebernahemBegruendung":"Die Wohnungen sind teuer hier"}</v>
      </c>
      <c r="E27" s="29" t="str">
        <f ca="1">F27&amp;G27&amp;H27&amp;I27&amp;J27&amp;K27&amp;L27&amp;M27&amp;N27&amp;O27&amp;P27&amp;Q27&amp;R27&amp;S27&amp;T27&amp;U27&amp;V27&amp;W27&amp;X27</f>
        <v>{"ubernahmeWohnkostenCFH":"100","uebernahmeWohnkostenVon":"01.11.2025","uebernahmeWohnkostenBis":"27.5.2026","uebernahemBegruendung":"Die Wohnungen sind teuer hier"}</v>
      </c>
      <c r="F27" s="115" t="s">
        <v>157</v>
      </c>
      <c r="G27" s="30">
        <v>100</v>
      </c>
      <c r="H27" s="30" t="s">
        <v>158</v>
      </c>
      <c r="I27" s="105" t="str">
        <f ca="1">"01."&amp;MONTH(TODAY())&amp;"."&amp;YEAR(TODAY())</f>
        <v>01.11.2025</v>
      </c>
      <c r="J27" s="30" t="s">
        <v>159</v>
      </c>
      <c r="K27" s="105" t="str">
        <f ca="1">"27."&amp;MONTH(TODAY()+180)&amp;"."&amp;YEAR(TODAY()+180)</f>
        <v>27.5.2026</v>
      </c>
      <c r="L27" s="31" t="s">
        <v>160</v>
      </c>
      <c r="M27" s="30" t="s">
        <v>161</v>
      </c>
      <c r="N27" s="31" t="s">
        <v>34</v>
      </c>
      <c r="P27" s="30"/>
      <c r="R27" s="30"/>
      <c r="T27" s="30"/>
      <c r="V27" s="30"/>
      <c r="AF27" s="65"/>
      <c r="AH27" s="41">
        <v>11210</v>
      </c>
      <c r="AI27" s="41"/>
      <c r="AJ27" s="41">
        <v>9943</v>
      </c>
      <c r="AK27" s="26">
        <f t="shared" si="0"/>
        <v>0.8869759143621766</v>
      </c>
    </row>
    <row r="28" spans="1:42" ht="17.25" customHeight="1">
      <c r="A28" s="420">
        <v>30</v>
      </c>
      <c r="B28" s="419" t="s">
        <v>163</v>
      </c>
      <c r="C28" s="29" t="str">
        <f t="shared" ref="C28:C34" ca="1" si="5">E28</f>
        <v>{"lEvonDate":"05.11.2025","lEbisDate":"05.11.2026","checkStatus":"In Bearbeitung"}</v>
      </c>
      <c r="D28" s="41"/>
      <c r="E28" s="29" t="str">
        <f t="shared" ref="E28:E34" ca="1" si="6">F28&amp;G28&amp;H28&amp;I28&amp;J28&amp;K28&amp;L28&amp;M28&amp;N28&amp;O28&amp;P28&amp;Q28&amp;R28&amp;S28&amp;T28&amp;U28&amp;V28&amp;W28&amp;X28</f>
        <v>{"lEvonDate":"05.11.2025","lEbisDate":"05.11.2026","checkStatus":"In Bearbeitung"}</v>
      </c>
      <c r="F28" s="95" t="s">
        <v>164</v>
      </c>
      <c r="G28" s="105" t="str">
        <f ca="1">TEXT(TEXT(TODAY(),"DD")&amp;"."&amp;TEXT(TODAY(),"MM")&amp;"."&amp;TEXT(TODAY(),"YYYY"),"DD.MM.YYYY")</f>
        <v>05.11.2025</v>
      </c>
      <c r="H28" s="95" t="s">
        <v>165</v>
      </c>
      <c r="I28" s="105" t="str">
        <f ca="1">TEXT(TEXT(TODAY(),"DD")&amp;"."&amp;TEXT(TODAY(),"MM")&amp;"."&amp;TEXT(TODAY()+360,"YYYY"),"DD.MM.YYYY")</f>
        <v>05.11.2026</v>
      </c>
      <c r="J28" s="95" t="s">
        <v>101</v>
      </c>
      <c r="K28" s="41" t="s">
        <v>102</v>
      </c>
      <c r="L28" s="95" t="s">
        <v>34</v>
      </c>
      <c r="M28" s="41"/>
      <c r="N28" s="95"/>
      <c r="O28" s="41"/>
      <c r="P28" s="95"/>
      <c r="Q28" s="41"/>
      <c r="R28" s="95"/>
      <c r="S28" s="41"/>
      <c r="T28" s="95"/>
      <c r="U28" s="41"/>
      <c r="V28" s="95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>
        <v>1395</v>
      </c>
      <c r="AI28" s="41"/>
      <c r="AJ28" s="41">
        <v>1490</v>
      </c>
      <c r="AK28" s="26">
        <f t="shared" si="0"/>
        <v>1.0681003584229392</v>
      </c>
      <c r="AL28" s="30">
        <v>12717</v>
      </c>
      <c r="AN28" s="30">
        <v>13142</v>
      </c>
      <c r="AP28" s="30">
        <v>33738</v>
      </c>
    </row>
    <row r="29" spans="1:42" ht="17.25" customHeight="1">
      <c r="A29" s="100"/>
      <c r="B29" s="28" t="s">
        <v>103</v>
      </c>
      <c r="C29" s="29" t="str">
        <f>E29</f>
        <v>{"username":"aventis-gemeinde-ma@diartis.ch","password":"#xFymiADPk7wJG/FWMz"}</v>
      </c>
      <c r="D29" s="41"/>
      <c r="E29" s="29" t="str">
        <f>F29&amp;G29&amp;H29&amp;I29&amp;J29&amp;K29&amp;L29&amp;M29&amp;N29&amp;O29&amp;P29&amp;Q29&amp;R29&amp;S29&amp;T29&amp;U29&amp;V29&amp;W29&amp;X29</f>
        <v>{"username":"aventis-gemeinde-ma@diartis.ch","password":"#xFymiADPk7wJG/FWMz"}</v>
      </c>
      <c r="F29" s="95" t="s">
        <v>27</v>
      </c>
      <c r="G29" s="96" t="s">
        <v>169</v>
      </c>
      <c r="H29" s="95" t="s">
        <v>29</v>
      </c>
      <c r="I29" s="107" t="s">
        <v>170</v>
      </c>
      <c r="J29" s="95" t="s">
        <v>34</v>
      </c>
      <c r="K29" s="105"/>
      <c r="L29" s="95"/>
      <c r="M29" s="41"/>
      <c r="N29" s="95"/>
      <c r="O29" s="41"/>
      <c r="P29" s="95"/>
      <c r="Q29" s="41"/>
      <c r="R29" s="95"/>
      <c r="S29" s="41"/>
      <c r="T29" s="95"/>
      <c r="U29" s="41"/>
      <c r="V29" s="95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>
        <v>10769</v>
      </c>
      <c r="AI29" s="41"/>
      <c r="AJ29" s="41">
        <v>10884</v>
      </c>
      <c r="AK29" s="26">
        <f t="shared" si="0"/>
        <v>1.0106788002600056</v>
      </c>
      <c r="AL29" s="30">
        <v>308895</v>
      </c>
    </row>
    <row r="30" spans="1:42" ht="17.25" customHeight="1">
      <c r="A30" s="27">
        <v>32</v>
      </c>
      <c r="B30" s="28" t="s">
        <v>103</v>
      </c>
      <c r="C30" s="29" t="str">
        <f t="shared" si="5"/>
        <v>{"username":"Bern.Sachbearbeiterin@diartis.ch","password":"XXxa22?pdTA66-S@"}</v>
      </c>
      <c r="D30" s="41"/>
      <c r="E30" s="29" t="str">
        <f t="shared" si="6"/>
        <v>{"username":"Bern.Sachbearbeiterin@diartis.ch","password":"XXxa22?pdTA66-S@"}</v>
      </c>
      <c r="F30" s="95" t="s">
        <v>27</v>
      </c>
      <c r="G30" s="96" t="s">
        <v>28</v>
      </c>
      <c r="H30" s="95" t="s">
        <v>29</v>
      </c>
      <c r="I30" s="107" t="s">
        <v>30</v>
      </c>
      <c r="J30" s="95" t="s">
        <v>34</v>
      </c>
      <c r="K30" s="105"/>
      <c r="L30" s="95"/>
      <c r="M30" s="41"/>
      <c r="N30" s="95"/>
      <c r="O30" s="41"/>
      <c r="P30" s="95"/>
      <c r="Q30" s="41"/>
      <c r="R30" s="95"/>
      <c r="S30" s="41"/>
      <c r="T30" s="95"/>
      <c r="U30" s="41"/>
      <c r="V30" s="95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>
        <v>8652</v>
      </c>
      <c r="AI30" s="41"/>
      <c r="AJ30" s="41">
        <v>8415</v>
      </c>
      <c r="AK30" s="26">
        <f t="shared" si="0"/>
        <v>0.97260748959778087</v>
      </c>
      <c r="AL30" s="30">
        <v>9207</v>
      </c>
      <c r="AN30" s="30">
        <v>17716</v>
      </c>
      <c r="AP30" s="30">
        <v>12639</v>
      </c>
    </row>
    <row r="31" spans="1:42" ht="17.25" customHeight="1">
      <c r="A31" s="27">
        <v>34</v>
      </c>
      <c r="B31" s="170" t="s">
        <v>244</v>
      </c>
      <c r="C31" s="29" t="str">
        <f>E31</f>
        <v>{"dossier":p.DossierName8,"buttonName":"Prüfung OK","checkEntscheid":"Geprüft"}</v>
      </c>
      <c r="D31" s="41"/>
      <c r="E31" s="29" t="str">
        <f t="shared" si="6"/>
        <v>{"dossier":p.DossierName8,"buttonName":"Prüfung OK","checkEntscheid":"Geprüft"}</v>
      </c>
      <c r="F31" s="95" t="s">
        <v>130</v>
      </c>
      <c r="G31" s="171" t="str">
        <f>G16</f>
        <v>p.DossierName8</v>
      </c>
      <c r="H31" s="95" t="s">
        <v>167</v>
      </c>
      <c r="I31" s="41" t="s">
        <v>168</v>
      </c>
      <c r="J31" s="95" t="s">
        <v>245</v>
      </c>
      <c r="K31" s="41" t="s">
        <v>246</v>
      </c>
      <c r="L31" s="95" t="s">
        <v>34</v>
      </c>
      <c r="M31" s="41"/>
      <c r="N31" s="95"/>
      <c r="O31" s="41"/>
      <c r="P31" s="95"/>
      <c r="Q31" s="41"/>
      <c r="R31" s="95"/>
      <c r="S31" s="41"/>
      <c r="T31" s="95"/>
      <c r="U31" s="41"/>
      <c r="V31" s="95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>
        <v>8569</v>
      </c>
      <c r="AI31" s="41"/>
      <c r="AJ31" s="41">
        <v>8674</v>
      </c>
      <c r="AK31" s="26">
        <f t="shared" si="0"/>
        <v>1.0122534718170149</v>
      </c>
      <c r="AL31" s="30">
        <v>10640</v>
      </c>
      <c r="AN31" s="30">
        <v>11014</v>
      </c>
      <c r="AP31" s="30">
        <v>11934</v>
      </c>
    </row>
    <row r="32" spans="1:42" ht="17.25" customHeight="1">
      <c r="A32" s="100">
        <v>35</v>
      </c>
      <c r="B32" s="28" t="s">
        <v>103</v>
      </c>
      <c r="C32" s="29" t="str">
        <f t="shared" si="5"/>
        <v>{"username":"aventis-gemeinde-ma@diartis.ch","password":"#xFymiADPk7wJG/FWMz"}</v>
      </c>
      <c r="D32" s="41"/>
      <c r="E32" s="29" t="str">
        <f t="shared" si="6"/>
        <v>{"username":"aventis-gemeinde-ma@diartis.ch","password":"#xFymiADPk7wJG/FWMz"}</v>
      </c>
      <c r="F32" s="95" t="s">
        <v>27</v>
      </c>
      <c r="G32" s="96" t="s">
        <v>169</v>
      </c>
      <c r="H32" s="95" t="s">
        <v>29</v>
      </c>
      <c r="I32" s="107" t="s">
        <v>170</v>
      </c>
      <c r="J32" s="95" t="s">
        <v>34</v>
      </c>
      <c r="K32" s="105"/>
      <c r="L32" s="95"/>
      <c r="M32" s="41"/>
      <c r="N32" s="95"/>
      <c r="O32" s="41"/>
      <c r="P32" s="95"/>
      <c r="Q32" s="41"/>
      <c r="R32" s="95"/>
      <c r="S32" s="41"/>
      <c r="T32" s="95"/>
      <c r="U32" s="41"/>
      <c r="V32" s="95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>
        <v>9133</v>
      </c>
      <c r="AI32" s="41"/>
      <c r="AJ32" s="41">
        <v>9029</v>
      </c>
      <c r="AK32" s="26">
        <f t="shared" si="0"/>
        <v>0.9886127230920837</v>
      </c>
      <c r="AL32" s="30">
        <v>9578</v>
      </c>
      <c r="AN32" s="30">
        <v>8038</v>
      </c>
      <c r="AP32" s="30">
        <v>8635</v>
      </c>
    </row>
    <row r="33" spans="1:42" ht="17.25" customHeight="1">
      <c r="A33" s="100">
        <v>37</v>
      </c>
      <c r="B33" s="170" t="s">
        <v>244</v>
      </c>
      <c r="C33" s="29" t="str">
        <f t="shared" si="5"/>
        <v>{"dossier":p.DossierName8,"buttonName":"Bewilligen","checkEntscheid":""}</v>
      </c>
      <c r="D33" s="41"/>
      <c r="E33" s="29" t="str">
        <f t="shared" si="6"/>
        <v>{"dossier":p.DossierName8,"buttonName":"Bewilligen","checkEntscheid":""}</v>
      </c>
      <c r="F33" s="95" t="s">
        <v>130</v>
      </c>
      <c r="G33" s="171" t="str">
        <f>G31</f>
        <v>p.DossierName8</v>
      </c>
      <c r="H33" s="95" t="s">
        <v>167</v>
      </c>
      <c r="I33" s="41" t="s">
        <v>105</v>
      </c>
      <c r="J33" s="95" t="s">
        <v>245</v>
      </c>
      <c r="K33" s="95"/>
      <c r="L33" s="95" t="s">
        <v>34</v>
      </c>
      <c r="M33" s="41"/>
      <c r="N33" s="95"/>
      <c r="O33" s="41"/>
      <c r="P33" s="95"/>
      <c r="Q33" s="41"/>
      <c r="R33" s="95"/>
      <c r="S33" s="41"/>
      <c r="T33" s="95"/>
      <c r="U33" s="41"/>
      <c r="V33" s="95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>
        <v>8024</v>
      </c>
      <c r="AI33" s="41"/>
      <c r="AJ33" s="41">
        <v>7910</v>
      </c>
      <c r="AK33" s="26">
        <f t="shared" si="0"/>
        <v>0.98579262213359919</v>
      </c>
      <c r="AL33" s="30">
        <v>9601</v>
      </c>
      <c r="AN33" s="30">
        <v>11934</v>
      </c>
      <c r="AP33" s="30">
        <v>11367</v>
      </c>
    </row>
    <row r="34" spans="1:42" ht="17.25" customHeight="1">
      <c r="A34" s="27">
        <v>38</v>
      </c>
      <c r="B34" s="28" t="s">
        <v>103</v>
      </c>
      <c r="C34" s="29" t="str">
        <f t="shared" si="5"/>
        <v>{"username":"Bern.Sachbearbeiterin@diartis.ch","password":"XXxa22?pdTA66-S@"}</v>
      </c>
      <c r="D34" s="41"/>
      <c r="E34" s="29" t="str">
        <f t="shared" si="6"/>
        <v>{"username":"Bern.Sachbearbeiterin@diartis.ch","password":"XXxa22?pdTA66-S@"}</v>
      </c>
      <c r="F34" s="95" t="s">
        <v>27</v>
      </c>
      <c r="G34" s="96" t="s">
        <v>28</v>
      </c>
      <c r="H34" s="95" t="s">
        <v>29</v>
      </c>
      <c r="I34" s="107" t="s">
        <v>30</v>
      </c>
      <c r="J34" s="95" t="s">
        <v>34</v>
      </c>
      <c r="K34" s="105"/>
      <c r="L34" s="95"/>
      <c r="M34" s="41"/>
      <c r="N34" s="95"/>
      <c r="O34" s="41"/>
      <c r="P34" s="95"/>
      <c r="Q34" s="41"/>
      <c r="R34" s="95"/>
      <c r="S34" s="41"/>
      <c r="T34" s="95"/>
      <c r="U34" s="41"/>
      <c r="V34" s="95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>
        <v>10174</v>
      </c>
      <c r="AI34" s="41"/>
      <c r="AJ34" s="41">
        <v>10415</v>
      </c>
      <c r="AK34" s="26">
        <f t="shared" si="0"/>
        <v>1.0236878317279339</v>
      </c>
      <c r="AL34" s="30">
        <v>7118</v>
      </c>
      <c r="AN34" s="30">
        <v>7213</v>
      </c>
      <c r="AP34" s="30">
        <v>7250</v>
      </c>
    </row>
    <row r="35" spans="1:42" ht="17.25" customHeight="1">
      <c r="A35" s="27">
        <v>40</v>
      </c>
      <c r="B35" s="169" t="s">
        <v>108</v>
      </c>
      <c r="C35" s="29" t="str">
        <f>E35</f>
        <v>{"searchDossierOrKlient":p.DossierName8,"resultType":"Dossiers"}</v>
      </c>
      <c r="E35" s="29" t="str">
        <f>F35&amp;G35&amp;H35&amp;I35&amp;J35&amp;K35&amp;L35&amp;M35&amp;N35&amp;O35&amp;P35&amp;Q35&amp;R35&amp;S35&amp;T35&amp;U35&amp;V35&amp;W35&amp;X35</f>
        <v>{"searchDossierOrKlient":p.DossierName8,"resultType":"Dossiers"}</v>
      </c>
      <c r="F35" s="31" t="s">
        <v>109</v>
      </c>
      <c r="G35" s="105" t="str">
        <f>G33</f>
        <v>p.DossierName8</v>
      </c>
      <c r="H35" s="31" t="s">
        <v>110</v>
      </c>
      <c r="I35" s="30" t="s">
        <v>111</v>
      </c>
      <c r="J35" s="31" t="s">
        <v>34</v>
      </c>
      <c r="AH35" s="41">
        <v>5444</v>
      </c>
      <c r="AI35" s="41"/>
      <c r="AJ35" s="41">
        <v>5439</v>
      </c>
      <c r="AK35" s="26">
        <f t="shared" si="0"/>
        <v>0.99908155767817786</v>
      </c>
      <c r="AL35" s="30">
        <v>10491</v>
      </c>
      <c r="AN35" s="30">
        <v>13736</v>
      </c>
      <c r="AP35" s="30">
        <v>12719</v>
      </c>
    </row>
    <row r="36" spans="1:42" ht="17.25" customHeight="1" thickBot="1">
      <c r="A36" s="27">
        <v>41</v>
      </c>
      <c r="B36" s="28" t="s">
        <v>172</v>
      </c>
      <c r="C36" s="29" t="str">
        <f ca="1">E36</f>
        <v xml:space="preserve">{"verwendungPeriode":"November 2025,Dezember 2025,Januar 2026,Februar 2026,März 2026,April 2026,Mai 2026","status":"Zu bezahlen"}																				
</v>
      </c>
      <c r="D36" s="41"/>
      <c r="E36" s="29" t="str">
        <f ca="1">F36&amp;G36&amp;H36&amp;I36&amp;J36&amp;K36&amp;L36&amp;M36&amp;N36&amp;O36&amp;P36&amp;Q36&amp;R36&amp;S36&amp;T36&amp;U36&amp;V36&amp;W36</f>
        <v xml:space="preserve">{"verwendungPeriode":"November 2025,Dezember 2025,Januar 2026,Februar 2026,März 2026,April 2026,Mai 2026","status":"Zu bezahlen"}																				
</v>
      </c>
      <c r="F36" s="95" t="s">
        <v>174</v>
      </c>
      <c r="G36" s="171" t="str">
        <f ca="1">F77&amp;","&amp;F78&amp;","&amp;F79&amp;","&amp;F80&amp;","&amp;F81&amp;","&amp;F82&amp;","&amp;F83</f>
        <v>November 2025,Dezember 2025,Januar 2026,Februar 2026,März 2026,April 2026,Mai 2026</v>
      </c>
      <c r="H36" s="95"/>
      <c r="I36" s="103"/>
      <c r="J36" s="95" t="s">
        <v>247</v>
      </c>
      <c r="K36" s="105" t="s">
        <v>177</v>
      </c>
      <c r="L36" s="172" t="s">
        <v>248</v>
      </c>
      <c r="M36" s="41"/>
      <c r="N36" s="95"/>
      <c r="O36" s="95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>
        <v>0</v>
      </c>
      <c r="AI36" s="41" t="s">
        <v>249</v>
      </c>
      <c r="AJ36" s="41">
        <v>5592</v>
      </c>
      <c r="AK36" s="26" t="e">
        <f t="shared" si="0"/>
        <v>#DIV/0!</v>
      </c>
      <c r="AL36" s="30">
        <v>6445</v>
      </c>
      <c r="AN36" s="30">
        <v>4861</v>
      </c>
      <c r="AP36" s="30">
        <v>5385</v>
      </c>
    </row>
    <row r="37" spans="1:42" ht="17.25" customHeight="1" thickBot="1">
      <c r="A37" s="406">
        <v>42</v>
      </c>
      <c r="B37" s="186" t="s">
        <v>306</v>
      </c>
      <c r="C37" s="29" t="str">
        <f ca="1">E37</f>
        <v>{"aufgabenStatus":"Nicht begonnen","aufgabenTitel":"AA_Aufgabe_45966.362062963_1","faelligkeitDatum":"1.11.2026","zugewiesenAn":"Bern Sozialarbeiterin 1B","check":"AA_Aufgabe_45966.362062963_1"}</v>
      </c>
      <c r="D37" s="22" t="s">
        <v>395</v>
      </c>
      <c r="E37" s="29" t="str">
        <f ca="1">F37&amp;G37&amp;H37&amp;I37&amp;J37&amp;K37&amp;L37&amp;M37&amp;N37&amp;O37&amp;P37&amp;Q37&amp;R37&amp;S37&amp;T37&amp;U37&amp;V37&amp;W37</f>
        <v>{"aufgabenStatus":"Nicht begonnen","aufgabenTitel":"AA_Aufgabe_45966.362062963_1","faelligkeitDatum":"1.11.2026","zugewiesenAn":"Bern Sozialarbeiterin 1B","check":"AA_Aufgabe_45966.362062963_1"}</v>
      </c>
      <c r="F37" s="189"/>
      <c r="G37" s="190"/>
      <c r="H37" s="190"/>
      <c r="I37" s="190" t="s">
        <v>307</v>
      </c>
      <c r="J37" s="188" t="s">
        <v>308</v>
      </c>
      <c r="K37" s="190" t="s">
        <v>309</v>
      </c>
      <c r="L37" s="201" t="str">
        <f ca="1">"AA_Aufgabe_"&amp;NOW()&amp;"_1"</f>
        <v>AA_Aufgabe_45966.362062963_1</v>
      </c>
      <c r="M37" s="190" t="s">
        <v>310</v>
      </c>
      <c r="N37" s="105" t="str">
        <f ca="1">TEXT(DAY(TODAY()-4)&amp;"."&amp;MONTH(TODAY())&amp;"."&amp;TEXT(TODAY()+4*35,"YYYY"),"DD.MM.YYYY")</f>
        <v>1.11.2026</v>
      </c>
      <c r="O37" s="190" t="s">
        <v>311</v>
      </c>
      <c r="P37" s="188" t="s">
        <v>323</v>
      </c>
      <c r="Q37" s="190" t="s">
        <v>312</v>
      </c>
      <c r="R37" s="188" t="str">
        <f ca="1">L37</f>
        <v>AA_Aufgabe_45966.362062963_1</v>
      </c>
      <c r="S37" s="190" t="s">
        <v>34</v>
      </c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>
        <v>6660</v>
      </c>
      <c r="AJ37" s="187">
        <v>0</v>
      </c>
      <c r="AK37" s="187">
        <v>0</v>
      </c>
      <c r="AL37" s="188">
        <v>5443</v>
      </c>
      <c r="AN37" s="30">
        <v>4960</v>
      </c>
      <c r="AP37" s="30">
        <v>5909</v>
      </c>
    </row>
    <row r="38" spans="1:42" ht="17.25" customHeight="1" thickBot="1">
      <c r="A38" s="406">
        <v>43</v>
      </c>
      <c r="B38" s="186" t="s">
        <v>306</v>
      </c>
      <c r="C38" s="29" t="str">
        <f t="shared" ref="C38:C39" ca="1" si="7">E38</f>
        <v>{"aufgabenStatus":"Nicht begonnen","aufgabenTitel":"AA_Aufgabe_45966.362062963_2","faelligkeitDatum":"1.11.2026","zugewiesenAn":"Bern Sozialarbeiterin 1B","check":"AA_Aufgabe_45966.362062963_2"}</v>
      </c>
      <c r="D38" s="22" t="s">
        <v>395</v>
      </c>
      <c r="E38" s="29" t="str">
        <f ca="1">F38&amp;G38&amp;H38&amp;I38&amp;J38&amp;K38&amp;L38&amp;M38&amp;N38&amp;O38&amp;P38&amp;Q38&amp;R38&amp;S38&amp;T38&amp;U38&amp;V38&amp;W38</f>
        <v>{"aufgabenStatus":"Nicht begonnen","aufgabenTitel":"AA_Aufgabe_45966.362062963_2","faelligkeitDatum":"1.11.2026","zugewiesenAn":"Bern Sozialarbeiterin 1B","check":"AA_Aufgabe_45966.362062963_2"}</v>
      </c>
      <c r="F38" s="189"/>
      <c r="G38" s="190"/>
      <c r="H38" s="190"/>
      <c r="I38" s="190" t="s">
        <v>307</v>
      </c>
      <c r="J38" s="188" t="s">
        <v>308</v>
      </c>
      <c r="K38" s="190" t="s">
        <v>309</v>
      </c>
      <c r="L38" s="201" t="str">
        <f ca="1">"AA_Aufgabe_"&amp;NOW()&amp;"_2"</f>
        <v>AA_Aufgabe_45966.362062963_2</v>
      </c>
      <c r="M38" s="190" t="s">
        <v>310</v>
      </c>
      <c r="N38" s="105" t="str">
        <f t="shared" ref="N38:N39" ca="1" si="8">TEXT(DAY(TODAY()-4)&amp;"."&amp;MONTH(TODAY())&amp;"."&amp;TEXT(TODAY()+4*35,"YYYY"),"DD.MM.YYYY")</f>
        <v>1.11.2026</v>
      </c>
      <c r="O38" s="190" t="s">
        <v>311</v>
      </c>
      <c r="P38" s="188" t="s">
        <v>323</v>
      </c>
      <c r="Q38" s="190" t="s">
        <v>312</v>
      </c>
      <c r="R38" s="188" t="str">
        <f t="shared" ref="R38:R39" ca="1" si="9">L38</f>
        <v>AA_Aufgabe_45966.362062963_2</v>
      </c>
      <c r="S38" s="190" t="s">
        <v>34</v>
      </c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>
        <v>7101</v>
      </c>
      <c r="AJ38" s="188"/>
      <c r="AK38" s="187">
        <v>6486</v>
      </c>
      <c r="AL38" s="188">
        <v>6909</v>
      </c>
      <c r="AN38" s="30">
        <v>5842</v>
      </c>
      <c r="AP38" s="30">
        <v>7392</v>
      </c>
    </row>
    <row r="39" spans="1:42" ht="17.25" customHeight="1" thickBot="1">
      <c r="A39" s="406">
        <v>44</v>
      </c>
      <c r="B39" s="186" t="s">
        <v>306</v>
      </c>
      <c r="C39" s="29" t="str">
        <f t="shared" ca="1" si="7"/>
        <v>{"aufgabenStatus":"Nicht begonnen","aufgabenTitel":"AA_Aufgabe_45966.362062963_3","faelligkeitDatum":"1.11.2026","zugewiesenAn":"Bern Sozialarbeiterin 1B","check":"AA_Aufgabe_45966.362062963_3"}</v>
      </c>
      <c r="D39" s="22" t="s">
        <v>395</v>
      </c>
      <c r="E39" s="29" t="str">
        <f ca="1">F39&amp;G39&amp;H39&amp;I39&amp;J39&amp;K39&amp;L39&amp;M39&amp;N39&amp;O39&amp;P39&amp;Q39&amp;R39&amp;S39&amp;T39&amp;U39&amp;V39&amp;W39</f>
        <v>{"aufgabenStatus":"Nicht begonnen","aufgabenTitel":"AA_Aufgabe_45966.362062963_3","faelligkeitDatum":"1.11.2026","zugewiesenAn":"Bern Sozialarbeiterin 1B","check":"AA_Aufgabe_45966.362062963_3"}</v>
      </c>
      <c r="F39" s="189"/>
      <c r="G39" s="190"/>
      <c r="H39" s="190"/>
      <c r="I39" s="190" t="s">
        <v>307</v>
      </c>
      <c r="J39" s="188" t="s">
        <v>308</v>
      </c>
      <c r="K39" s="190" t="s">
        <v>309</v>
      </c>
      <c r="L39" s="201" t="str">
        <f ca="1">"AA_Aufgabe_"&amp;NOW()&amp;"_3"</f>
        <v>AA_Aufgabe_45966.362062963_3</v>
      </c>
      <c r="M39" s="190" t="s">
        <v>310</v>
      </c>
      <c r="N39" s="105" t="str">
        <f t="shared" ca="1" si="8"/>
        <v>1.11.2026</v>
      </c>
      <c r="O39" s="190" t="s">
        <v>311</v>
      </c>
      <c r="P39" s="188" t="s">
        <v>323</v>
      </c>
      <c r="Q39" s="190" t="s">
        <v>312</v>
      </c>
      <c r="R39" s="188" t="str">
        <f t="shared" ca="1" si="9"/>
        <v>AA_Aufgabe_45966.362062963_3</v>
      </c>
      <c r="S39" s="190" t="s">
        <v>34</v>
      </c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>
        <v>6523</v>
      </c>
      <c r="AJ39" s="187">
        <v>264</v>
      </c>
      <c r="AK39" s="187">
        <v>6488</v>
      </c>
      <c r="AL39" s="188">
        <v>7437</v>
      </c>
      <c r="AN39" s="30">
        <v>4029</v>
      </c>
      <c r="AP39" s="30">
        <v>3925</v>
      </c>
    </row>
    <row r="40" spans="1:42" ht="17.25" customHeight="1" thickBot="1">
      <c r="B40" s="192" t="s">
        <v>108</v>
      </c>
      <c r="C40" s="192" t="s">
        <v>314</v>
      </c>
      <c r="D40" s="192"/>
      <c r="E40" s="192"/>
      <c r="F40" s="192"/>
      <c r="G40" s="193" t="s">
        <v>109</v>
      </c>
      <c r="H40" s="194" t="s">
        <v>315</v>
      </c>
      <c r="I40" s="193" t="s">
        <v>316</v>
      </c>
      <c r="J40" s="192"/>
      <c r="K40" s="193"/>
      <c r="L40" s="192"/>
      <c r="M40" s="193"/>
      <c r="N40" s="192"/>
      <c r="O40" s="193"/>
      <c r="P40" s="192"/>
      <c r="Q40" s="193"/>
      <c r="R40" s="192"/>
      <c r="S40" s="193"/>
      <c r="T40" s="192"/>
      <c r="U40" s="195"/>
      <c r="V40" s="192"/>
      <c r="W40" s="195"/>
      <c r="X40" s="192"/>
      <c r="Y40" s="195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>
        <v>11281</v>
      </c>
      <c r="AJ40" s="192">
        <v>11822</v>
      </c>
      <c r="AK40" s="192">
        <v>10448</v>
      </c>
      <c r="AL40" s="192">
        <v>6562</v>
      </c>
      <c r="AN40" s="30">
        <v>4228</v>
      </c>
      <c r="AP40" s="30">
        <v>4004</v>
      </c>
    </row>
    <row r="41" spans="1:42" ht="17.25" customHeight="1" thickBot="1">
      <c r="A41" s="188"/>
      <c r="B41" s="196" t="s">
        <v>317</v>
      </c>
      <c r="C41" s="187" t="s">
        <v>318</v>
      </c>
      <c r="D41" s="188" t="s">
        <v>26</v>
      </c>
      <c r="E41" s="187" t="s">
        <v>318</v>
      </c>
      <c r="F41" s="197"/>
      <c r="G41" s="188" t="s">
        <v>319</v>
      </c>
      <c r="H41" s="198" t="s">
        <v>313</v>
      </c>
      <c r="I41" s="190" t="s">
        <v>320</v>
      </c>
      <c r="J41" s="188" t="s">
        <v>321</v>
      </c>
      <c r="K41" s="190" t="s">
        <v>322</v>
      </c>
      <c r="L41" s="188" t="s">
        <v>323</v>
      </c>
      <c r="M41" s="187" t="s">
        <v>311</v>
      </c>
      <c r="N41" s="187" t="s">
        <v>87</v>
      </c>
      <c r="O41" s="190" t="s">
        <v>309</v>
      </c>
      <c r="P41" s="187" t="s">
        <v>324</v>
      </c>
      <c r="Q41" s="190" t="s">
        <v>247</v>
      </c>
      <c r="R41" s="187" t="s">
        <v>325</v>
      </c>
      <c r="S41" s="190" t="s">
        <v>326</v>
      </c>
      <c r="T41" s="187" t="s">
        <v>327</v>
      </c>
      <c r="U41" s="190" t="s">
        <v>328</v>
      </c>
      <c r="V41" s="188"/>
      <c r="W41" s="190" t="s">
        <v>329</v>
      </c>
      <c r="X41" s="187" t="s">
        <v>330</v>
      </c>
      <c r="Y41" s="199" t="s">
        <v>331</v>
      </c>
      <c r="Z41" s="187">
        <v>3</v>
      </c>
      <c r="AA41" s="199" t="s">
        <v>332</v>
      </c>
      <c r="AB41" s="187" t="s">
        <v>333</v>
      </c>
      <c r="AC41" s="199" t="s">
        <v>334</v>
      </c>
      <c r="AD41" s="200" t="s">
        <v>335</v>
      </c>
      <c r="AE41" s="199" t="s">
        <v>34</v>
      </c>
      <c r="AF41" s="188"/>
      <c r="AG41" s="188"/>
      <c r="AH41" s="188"/>
      <c r="AI41" s="187">
        <v>14292</v>
      </c>
      <c r="AJ41" s="187">
        <v>13767</v>
      </c>
      <c r="AK41" s="187">
        <v>38938</v>
      </c>
      <c r="AL41" s="188">
        <v>2970</v>
      </c>
    </row>
    <row r="42" spans="1:42" s="25" customFormat="1" ht="17.25" customHeight="1">
      <c r="A42" s="173"/>
      <c r="B42" s="174" t="s">
        <v>203</v>
      </c>
      <c r="C42" s="175"/>
      <c r="E42" s="175"/>
      <c r="F42" s="176"/>
      <c r="H42" s="176"/>
      <c r="J42" s="176"/>
      <c r="L42" s="176"/>
      <c r="N42" s="176"/>
      <c r="P42" s="176"/>
      <c r="R42" s="176"/>
      <c r="T42" s="176"/>
      <c r="V42" s="176"/>
      <c r="AK42" s="26" t="e">
        <f>AJ42/(#REF!)</f>
        <v>#REF!</v>
      </c>
    </row>
    <row r="43" spans="1:42" s="25" customFormat="1" ht="17.25" customHeight="1">
      <c r="A43" s="173"/>
      <c r="B43" s="174" t="s">
        <v>203</v>
      </c>
      <c r="C43" s="175"/>
      <c r="E43" s="175"/>
      <c r="F43" s="176"/>
      <c r="H43" s="176"/>
      <c r="J43" s="176"/>
      <c r="L43" s="176"/>
      <c r="N43" s="176"/>
      <c r="P43" s="176"/>
      <c r="R43" s="176"/>
      <c r="T43" s="176"/>
      <c r="V43" s="176"/>
      <c r="AK43" s="26" t="e">
        <f>AJ43/(#REF!)</f>
        <v>#REF!</v>
      </c>
    </row>
    <row r="44" spans="1:42" s="25" customFormat="1" ht="17.25" customHeight="1">
      <c r="A44" s="173"/>
      <c r="B44" s="174" t="s">
        <v>205</v>
      </c>
      <c r="C44" s="175"/>
      <c r="E44" s="175"/>
      <c r="F44" s="176"/>
      <c r="H44" s="176"/>
      <c r="J44" s="176"/>
      <c r="L44" s="176"/>
      <c r="N44" s="176"/>
      <c r="P44" s="176"/>
      <c r="R44" s="176"/>
      <c r="T44" s="176"/>
      <c r="V44" s="176"/>
      <c r="AK44" s="26" t="e">
        <f>AJ44/(#REF!)</f>
        <v>#REF!</v>
      </c>
    </row>
    <row r="45" spans="1:42" s="25" customFormat="1" ht="17.25" customHeight="1">
      <c r="A45" s="173"/>
      <c r="B45" s="177" t="s">
        <v>22</v>
      </c>
      <c r="C45" s="175"/>
      <c r="E45" s="175" t="e">
        <f t="array" aca="1" ref="E45" ca="1">Choosrows(H58:H81,1)</f>
        <v>#NAME?</v>
      </c>
      <c r="F45" s="176" t="s">
        <v>204</v>
      </c>
      <c r="G45" s="25" t="str">
        <f>"p.DossierName"&amp;G50</f>
        <v>p.DossierName8</v>
      </c>
      <c r="H45" s="25" t="str">
        <f>"p.ManFirstName"&amp;G50</f>
        <v>p.ManFirstName8</v>
      </c>
      <c r="I45" s="25" t="str">
        <f>"p.AHVNumber"&amp;G52</f>
        <v>p.AHVNumber29</v>
      </c>
      <c r="J45" s="178" t="str">
        <f>"p.BirthdayAdult"&amp;G50</f>
        <v>p.BirthdayAdult8</v>
      </c>
      <c r="L45" s="176"/>
      <c r="N45" s="176"/>
      <c r="P45" s="176"/>
      <c r="R45" s="176"/>
      <c r="T45" s="176"/>
      <c r="V45" s="176"/>
      <c r="AK45" s="26" t="e">
        <f>AJ45/(#REF!)</f>
        <v>#REF!</v>
      </c>
    </row>
    <row r="46" spans="1:42" s="25" customFormat="1" ht="17.25" customHeight="1">
      <c r="A46" s="173"/>
      <c r="B46" s="174"/>
      <c r="C46" s="175"/>
      <c r="E46" s="175" t="s">
        <v>210</v>
      </c>
      <c r="F46" s="176" t="s">
        <v>206</v>
      </c>
      <c r="G46" s="25" t="str">
        <f>"p.FamilyName"&amp;G50</f>
        <v>p.FamilyName8</v>
      </c>
      <c r="H46" s="25" t="str">
        <f>"p.WomanFirstName"&amp;G50</f>
        <v>p.WomanFirstName8</v>
      </c>
      <c r="I46" s="25" t="str">
        <f>"p.AHVNumber"&amp;G52+1</f>
        <v>p.AHVNumber30</v>
      </c>
      <c r="J46" s="178" t="str">
        <f>"p.BirthdayAdult"&amp;G51</f>
        <v>p.BirthdayAdult9</v>
      </c>
      <c r="L46" s="176"/>
      <c r="N46" s="176"/>
      <c r="P46" s="176"/>
      <c r="R46" s="176"/>
      <c r="T46" s="176"/>
      <c r="V46" s="176"/>
      <c r="AK46" s="26" t="e">
        <f>AJ46/(#REF!)</f>
        <v>#REF!</v>
      </c>
    </row>
    <row r="47" spans="1:42" s="25" customFormat="1" ht="17.25" customHeight="1">
      <c r="A47" s="173"/>
      <c r="B47" s="174"/>
      <c r="C47" s="175"/>
      <c r="D47" s="25">
        <f ca="1">MONTH(TODAY())</f>
        <v>11</v>
      </c>
      <c r="E47" s="175" t="str">
        <f t="array" aca="1" ref="E47" ca="1">_xlfn.CHOOSEROWS(G$58:G$81,D47)&amp;" "&amp;_xlfn.CHOOSEROWS(H$58:H$81,D47)</f>
        <v xml:space="preserve"> </v>
      </c>
      <c r="F47" s="176" t="s">
        <v>207</v>
      </c>
      <c r="G47" s="25" t="str">
        <f>G46</f>
        <v>p.FamilyName8</v>
      </c>
      <c r="H47" s="25" t="str">
        <f>"p.GirlFirstName"&amp;G50</f>
        <v>p.GirlFirstName8</v>
      </c>
      <c r="I47" s="25" t="str">
        <f>"p.AHVNumber"&amp;G52+2</f>
        <v>p.AHVNumber31</v>
      </c>
      <c r="J47" s="178" t="str">
        <f>"p.BirthdayKid"&amp;G50</f>
        <v>p.BirthdayKid8</v>
      </c>
      <c r="L47" s="176"/>
      <c r="N47" s="176"/>
      <c r="P47" s="176"/>
      <c r="R47" s="176"/>
      <c r="T47" s="176"/>
      <c r="V47" s="176"/>
      <c r="AK47" s="26" t="e">
        <f>AJ47/(#REF!)</f>
        <v>#REF!</v>
      </c>
    </row>
    <row r="48" spans="1:42" s="25" customFormat="1" ht="17.25" customHeight="1">
      <c r="A48" s="173"/>
      <c r="B48" s="174"/>
      <c r="C48" s="175"/>
      <c r="D48" s="25">
        <f ca="1">D47+1</f>
        <v>12</v>
      </c>
      <c r="E48" s="175" t="str">
        <f t="array" aca="1" ref="E48" ca="1">_xlfn.CHOOSEROWS(G$58:G$81,D48)&amp;" "&amp;_xlfn.CHOOSEROWS(H$58:H$81,D48)</f>
        <v xml:space="preserve"> </v>
      </c>
      <c r="F48" s="176"/>
      <c r="H48" s="25" t="str">
        <f>"p.ManFirstName"&amp;G51</f>
        <v>p.ManFirstName9</v>
      </c>
      <c r="I48" s="25" t="str">
        <f>"p.AHVNumber"&amp;G52+3</f>
        <v>p.AHVNumber32</v>
      </c>
      <c r="J48" s="178" t="str">
        <f>"p.BirthdayKid"&amp;G51</f>
        <v>p.BirthdayKid9</v>
      </c>
      <c r="L48" s="176"/>
      <c r="N48" s="176"/>
      <c r="P48" s="176"/>
      <c r="R48" s="176"/>
      <c r="T48" s="176"/>
      <c r="V48" s="176"/>
      <c r="AK48" s="26" t="e">
        <f>AJ48/(#REF!)</f>
        <v>#REF!</v>
      </c>
    </row>
    <row r="49" spans="1:37" s="25" customFormat="1" ht="17.25" customHeight="1">
      <c r="A49" s="173"/>
      <c r="B49" s="174"/>
      <c r="C49" s="175"/>
      <c r="D49" s="25">
        <f t="shared" ref="D49:D53" ca="1" si="10">D48+1</f>
        <v>13</v>
      </c>
      <c r="E49" s="175" t="str">
        <f t="array" aca="1" ref="E49" ca="1">_xlfn.CHOOSEROWS(G$58:G$81,D49)&amp;" "&amp;_xlfn.CHOOSEROWS(H$58:H$81,D49)</f>
        <v xml:space="preserve"> </v>
      </c>
      <c r="F49" s="176"/>
      <c r="G49" s="25" t="str">
        <f>G45</f>
        <v>p.DossierName8</v>
      </c>
      <c r="H49" s="176" t="str">
        <f>H45</f>
        <v>p.ManFirstName8</v>
      </c>
      <c r="I49" s="25" t="str">
        <f>I45</f>
        <v>p.AHVNumber29</v>
      </c>
      <c r="J49" s="179" t="str">
        <f>J45</f>
        <v>p.BirthdayAdult8</v>
      </c>
      <c r="L49" s="176"/>
      <c r="N49" s="176"/>
      <c r="P49" s="176"/>
      <c r="R49" s="176"/>
      <c r="T49" s="176"/>
      <c r="V49" s="176"/>
      <c r="AK49" s="26" t="e">
        <f>AJ49/(#REF!)</f>
        <v>#REF!</v>
      </c>
    </row>
    <row r="50" spans="1:37" s="25" customFormat="1" ht="17.25" customHeight="1">
      <c r="A50" s="173"/>
      <c r="B50" s="174"/>
      <c r="C50" s="175"/>
      <c r="D50" s="25">
        <f t="shared" ca="1" si="10"/>
        <v>14</v>
      </c>
      <c r="E50" s="175" t="str">
        <f t="array" aca="1" ref="E50" ca="1">_xlfn.CHOOSEROWS(G$58:G$81,D50)&amp;" "&amp;_xlfn.CHOOSEROWS(H$58:H$81,D50)</f>
        <v xml:space="preserve"> </v>
      </c>
      <c r="F50" s="176"/>
      <c r="G50" s="180">
        <v>8</v>
      </c>
      <c r="H50" s="176" t="str">
        <f t="shared" ref="H50:J52" si="11">H46</f>
        <v>p.WomanFirstName8</v>
      </c>
      <c r="I50" s="25" t="str">
        <f t="shared" si="11"/>
        <v>p.AHVNumber30</v>
      </c>
      <c r="J50" s="179" t="str">
        <f t="shared" si="11"/>
        <v>p.BirthdayAdult9</v>
      </c>
      <c r="L50" s="176"/>
      <c r="N50" s="176"/>
      <c r="P50" s="176"/>
      <c r="R50" s="176"/>
      <c r="T50" s="176"/>
      <c r="V50" s="176"/>
      <c r="AK50" s="26" t="e">
        <f>AJ50/(#REF!)</f>
        <v>#REF!</v>
      </c>
    </row>
    <row r="51" spans="1:37" s="25" customFormat="1" ht="17.25" customHeight="1">
      <c r="A51" s="173"/>
      <c r="B51" s="174"/>
      <c r="C51" s="175"/>
      <c r="D51" s="25">
        <f t="shared" ca="1" si="10"/>
        <v>15</v>
      </c>
      <c r="E51" s="175" t="str">
        <f t="array" aca="1" ref="E51" ca="1">_xlfn.CHOOSEROWS(G$58:G$81,D51)&amp;" "&amp;_xlfn.CHOOSEROWS(H$58:H$81,D51)</f>
        <v xml:space="preserve"> </v>
      </c>
      <c r="F51" s="176"/>
      <c r="G51" s="25">
        <f>G50+1</f>
        <v>9</v>
      </c>
      <c r="H51" s="176" t="str">
        <f t="shared" si="11"/>
        <v>p.GirlFirstName8</v>
      </c>
      <c r="I51" s="25" t="str">
        <f t="shared" si="11"/>
        <v>p.AHVNumber31</v>
      </c>
      <c r="J51" s="179" t="str">
        <f t="shared" si="11"/>
        <v>p.BirthdayKid8</v>
      </c>
      <c r="L51" s="176"/>
      <c r="N51" s="176"/>
      <c r="P51" s="176"/>
      <c r="R51" s="176"/>
      <c r="T51" s="176"/>
      <c r="V51" s="176"/>
      <c r="AK51" s="26" t="e">
        <f>AJ51/(#REF!)</f>
        <v>#REF!</v>
      </c>
    </row>
    <row r="52" spans="1:37" s="25" customFormat="1" ht="17.25" customHeight="1">
      <c r="A52" s="173"/>
      <c r="B52" s="174"/>
      <c r="C52" s="175"/>
      <c r="D52" s="25">
        <f t="shared" ca="1" si="10"/>
        <v>16</v>
      </c>
      <c r="E52" s="175" t="str">
        <f t="array" aca="1" ref="E52" ca="1">_xlfn.CHOOSEROWS(G$58:G$81,D52)&amp;" "&amp;_xlfn.CHOOSEROWS(H$58:H$81,D52)</f>
        <v xml:space="preserve"> </v>
      </c>
      <c r="F52" s="176"/>
      <c r="G52" s="25">
        <f>G50*4-4+1</f>
        <v>29</v>
      </c>
      <c r="H52" s="176" t="str">
        <f t="shared" si="11"/>
        <v>p.ManFirstName9</v>
      </c>
      <c r="I52" s="25" t="str">
        <f t="shared" si="11"/>
        <v>p.AHVNumber32</v>
      </c>
      <c r="J52" s="179" t="str">
        <f t="shared" si="11"/>
        <v>p.BirthdayKid9</v>
      </c>
      <c r="L52" s="176"/>
      <c r="N52" s="176"/>
      <c r="P52" s="176"/>
      <c r="R52" s="176"/>
      <c r="T52" s="176"/>
      <c r="V52" s="176"/>
      <c r="AK52" s="26"/>
    </row>
    <row r="53" spans="1:37" s="25" customFormat="1" ht="17.25" customHeight="1">
      <c r="A53" s="173"/>
      <c r="B53" s="174"/>
      <c r="C53" s="175"/>
      <c r="D53" s="25">
        <f t="shared" ca="1" si="10"/>
        <v>17</v>
      </c>
      <c r="E53" s="175" t="str">
        <f t="array" aca="1" ref="E53" ca="1">_xlfn.CHOOSEROWS(G$58:G$81,D53)&amp;" "&amp;_xlfn.CHOOSEROWS(H$58:H$81,D53)</f>
        <v xml:space="preserve"> </v>
      </c>
      <c r="F53" s="176"/>
      <c r="H53" s="176"/>
      <c r="J53" s="176"/>
      <c r="L53" s="176"/>
      <c r="N53" s="176"/>
      <c r="P53" s="176"/>
      <c r="R53" s="176"/>
      <c r="T53" s="176"/>
      <c r="V53" s="176"/>
      <c r="AK53" s="26"/>
    </row>
    <row r="54" spans="1:37" s="25" customFormat="1" ht="17.25" customHeight="1">
      <c r="A54" s="173"/>
      <c r="B54" s="174"/>
      <c r="C54" s="175"/>
      <c r="E54" s="181"/>
      <c r="F54" s="176"/>
      <c r="H54" s="176"/>
      <c r="J54" s="176"/>
      <c r="L54" s="176"/>
      <c r="N54" s="176"/>
      <c r="P54" s="176"/>
      <c r="R54" s="176"/>
      <c r="T54" s="176"/>
      <c r="V54" s="176"/>
      <c r="AK54" s="26"/>
    </row>
    <row r="55" spans="1:37" s="25" customFormat="1" ht="17.25" customHeight="1">
      <c r="A55" s="173"/>
      <c r="B55" s="174"/>
      <c r="C55" s="175"/>
      <c r="D55" s="25">
        <v>10</v>
      </c>
      <c r="E55" s="175">
        <f t="array" ref="E55">_xlfn.CHOOSEROWS(H58:H81,D55)</f>
        <v>0</v>
      </c>
      <c r="F55" s="176"/>
      <c r="H55" s="176"/>
      <c r="J55" s="176"/>
      <c r="L55" s="176"/>
      <c r="N55" s="176"/>
      <c r="P55" s="176"/>
      <c r="R55" s="176"/>
      <c r="T55" s="176"/>
      <c r="V55" s="176"/>
      <c r="AK55" s="26"/>
    </row>
    <row r="56" spans="1:37" s="25" customFormat="1" ht="17.25" customHeight="1">
      <c r="A56" s="173"/>
      <c r="B56" s="174"/>
      <c r="C56" s="175"/>
      <c r="E56" s="175"/>
      <c r="F56" s="176"/>
      <c r="H56" s="176"/>
      <c r="J56" s="176"/>
      <c r="L56" s="176"/>
      <c r="N56" s="176"/>
      <c r="P56" s="176"/>
      <c r="R56" s="176"/>
      <c r="T56" s="176"/>
      <c r="V56" s="176"/>
      <c r="AK56" s="26"/>
    </row>
    <row r="57" spans="1:37" s="25" customFormat="1" ht="17.25" customHeight="1">
      <c r="A57" s="173"/>
      <c r="B57" s="174"/>
      <c r="C57" s="175"/>
      <c r="E57" s="175"/>
      <c r="F57" s="176"/>
      <c r="H57" s="176"/>
      <c r="J57" s="176"/>
      <c r="L57" s="176"/>
      <c r="N57" s="176"/>
      <c r="P57" s="176"/>
      <c r="R57" s="176"/>
      <c r="T57" s="176"/>
      <c r="V57" s="176"/>
      <c r="AK57" s="26"/>
    </row>
    <row r="58" spans="1:37" s="25" customFormat="1" ht="17.25" customHeight="1">
      <c r="A58" s="173"/>
      <c r="B58" s="174"/>
      <c r="C58" s="175"/>
      <c r="E58" s="182"/>
      <c r="F58" s="176"/>
      <c r="H58" s="176"/>
      <c r="J58" s="176"/>
      <c r="L58" s="176"/>
      <c r="N58" s="176"/>
      <c r="P58" s="176"/>
      <c r="S58" s="176"/>
      <c r="U58" s="176"/>
      <c r="AK58" s="26"/>
    </row>
    <row r="59" spans="1:37" s="25" customFormat="1" ht="17.25" customHeight="1">
      <c r="A59" s="173"/>
      <c r="B59" s="174"/>
      <c r="C59" s="175"/>
      <c r="E59" s="182"/>
      <c r="F59" s="176"/>
      <c r="H59" s="176"/>
      <c r="J59" s="176"/>
      <c r="L59" s="176"/>
      <c r="N59" s="176"/>
      <c r="P59" s="176"/>
      <c r="S59" s="176"/>
      <c r="U59" s="176"/>
      <c r="AK59" s="26"/>
    </row>
    <row r="60" spans="1:37" s="25" customFormat="1" ht="17.25" customHeight="1">
      <c r="A60" s="173"/>
      <c r="B60" s="174"/>
      <c r="C60" s="175"/>
      <c r="E60" s="182"/>
      <c r="F60" s="176"/>
      <c r="H60" s="176"/>
      <c r="J60" s="176"/>
      <c r="L60" s="176"/>
      <c r="N60" s="176"/>
      <c r="P60" s="176"/>
      <c r="S60" s="176"/>
      <c r="U60" s="176"/>
      <c r="AK60" s="5"/>
    </row>
    <row r="61" spans="1:37" s="25" customFormat="1" ht="17.25" customHeight="1">
      <c r="A61" s="173"/>
      <c r="B61" s="174"/>
      <c r="C61" s="175"/>
      <c r="E61" s="182"/>
      <c r="F61" s="176"/>
      <c r="H61" s="176"/>
      <c r="J61" s="176"/>
      <c r="L61" s="176"/>
      <c r="N61" s="176"/>
      <c r="P61" s="176"/>
      <c r="S61" s="176"/>
      <c r="U61" s="176"/>
      <c r="AK61" s="5"/>
    </row>
    <row r="62" spans="1:37" s="25" customFormat="1" ht="17.25" customHeight="1">
      <c r="A62" s="173"/>
      <c r="B62" s="174"/>
      <c r="C62" s="175"/>
      <c r="E62" s="182"/>
      <c r="F62" s="176"/>
      <c r="H62" s="176"/>
      <c r="J62" s="176"/>
      <c r="L62" s="176"/>
      <c r="N62" s="176"/>
      <c r="P62" s="176"/>
      <c r="S62" s="176"/>
      <c r="U62" s="176"/>
      <c r="AK62" s="5"/>
    </row>
    <row r="63" spans="1:37" s="25" customFormat="1" ht="17.25" customHeight="1">
      <c r="A63" s="173"/>
      <c r="B63" s="174"/>
      <c r="C63" s="175"/>
      <c r="E63" s="182"/>
      <c r="F63" s="176"/>
      <c r="H63" s="176"/>
      <c r="J63" s="176"/>
      <c r="L63" s="176"/>
      <c r="N63" s="176"/>
      <c r="P63" s="176"/>
      <c r="S63" s="176"/>
      <c r="U63" s="176"/>
      <c r="AK63" s="5"/>
    </row>
    <row r="64" spans="1:37" s="25" customFormat="1" ht="17.25" customHeight="1">
      <c r="A64" s="173"/>
      <c r="B64" s="174"/>
      <c r="C64" s="175"/>
      <c r="E64" s="182"/>
      <c r="F64" s="176"/>
      <c r="H64" s="176"/>
      <c r="J64" s="176"/>
      <c r="L64" s="176"/>
      <c r="N64" s="176"/>
      <c r="P64" s="176"/>
      <c r="S64" s="176"/>
      <c r="U64" s="176"/>
      <c r="AK64" s="5"/>
    </row>
    <row r="65" spans="1:37" s="25" customFormat="1" ht="17.25" customHeight="1">
      <c r="A65" s="173"/>
      <c r="B65" s="174"/>
      <c r="C65" s="175"/>
      <c r="E65" s="182"/>
      <c r="F65" s="176"/>
      <c r="H65" s="176"/>
      <c r="J65" s="176"/>
      <c r="L65" s="176"/>
      <c r="N65" s="176"/>
      <c r="P65" s="176"/>
      <c r="S65" s="176"/>
      <c r="U65" s="176"/>
      <c r="AK65" s="5"/>
    </row>
    <row r="66" spans="1:37" s="25" customFormat="1" ht="17.25" customHeight="1">
      <c r="A66" s="173"/>
      <c r="B66" s="174"/>
      <c r="C66" s="175"/>
      <c r="E66" s="182"/>
      <c r="F66" s="176"/>
      <c r="H66" s="176"/>
      <c r="J66" s="176"/>
      <c r="L66" s="176"/>
      <c r="N66" s="176"/>
      <c r="P66" s="176"/>
      <c r="S66" s="176"/>
      <c r="U66" s="176"/>
      <c r="AK66" s="5"/>
    </row>
    <row r="67" spans="1:37" s="25" customFormat="1" ht="17.25" customHeight="1">
      <c r="A67" s="173"/>
      <c r="B67" s="174"/>
      <c r="C67" s="175"/>
      <c r="E67" s="182"/>
      <c r="F67" s="176"/>
      <c r="H67" s="176"/>
      <c r="J67" s="176"/>
      <c r="L67" s="176"/>
      <c r="N67" s="176"/>
      <c r="P67" s="176"/>
      <c r="S67" s="176"/>
      <c r="U67" s="176"/>
      <c r="AK67" s="5"/>
    </row>
    <row r="68" spans="1:37" s="25" customFormat="1" ht="17.25" customHeight="1">
      <c r="A68" s="173"/>
      <c r="B68" s="174"/>
      <c r="C68" s="175"/>
      <c r="E68" s="182"/>
      <c r="F68" s="176"/>
      <c r="H68" s="176"/>
      <c r="J68" s="176"/>
      <c r="L68" s="176"/>
      <c r="N68" s="176"/>
      <c r="P68" s="176"/>
      <c r="S68" s="176"/>
      <c r="U68" s="176"/>
      <c r="AK68" s="5"/>
    </row>
    <row r="69" spans="1:37" s="25" customFormat="1" ht="17.25" customHeight="1">
      <c r="A69" s="173"/>
      <c r="B69" s="174"/>
      <c r="C69" s="175"/>
      <c r="E69" s="182"/>
      <c r="F69" s="176"/>
      <c r="H69" s="176"/>
      <c r="J69" s="176"/>
      <c r="L69" s="176"/>
      <c r="N69" s="176"/>
      <c r="P69" s="176"/>
      <c r="S69" s="176"/>
      <c r="U69" s="176"/>
      <c r="AK69" s="5"/>
    </row>
    <row r="70" spans="1:37" s="25" customFormat="1" ht="17.25" customHeight="1">
      <c r="A70" s="173"/>
      <c r="B70" s="174"/>
      <c r="C70" s="175"/>
      <c r="E70" s="175"/>
      <c r="F70" s="176"/>
      <c r="H70" s="176"/>
      <c r="J70" s="176"/>
      <c r="L70" s="176"/>
      <c r="N70" s="176"/>
      <c r="P70" s="176"/>
      <c r="S70" s="176"/>
      <c r="U70" s="176"/>
      <c r="AK70" s="5"/>
    </row>
    <row r="71" spans="1:37" s="25" customFormat="1" ht="17.25" customHeight="1">
      <c r="A71" s="173"/>
      <c r="B71" s="174"/>
      <c r="C71" s="175"/>
      <c r="E71" s="175"/>
      <c r="F71" s="176"/>
      <c r="H71" s="176"/>
      <c r="J71" s="176"/>
      <c r="L71" s="176"/>
      <c r="N71" s="176"/>
      <c r="P71" s="176"/>
      <c r="S71" s="176"/>
      <c r="U71" s="176"/>
      <c r="AK71" s="5"/>
    </row>
    <row r="72" spans="1:37" s="25" customFormat="1" ht="17.25" customHeight="1">
      <c r="A72" s="173"/>
      <c r="B72" s="174"/>
      <c r="C72" s="175"/>
      <c r="E72" s="175"/>
      <c r="F72" s="176"/>
      <c r="H72" s="176"/>
      <c r="J72" s="176"/>
      <c r="L72" s="176"/>
      <c r="N72" s="176"/>
      <c r="P72" s="176"/>
      <c r="S72" s="176"/>
      <c r="U72" s="176"/>
      <c r="AK72" s="5"/>
    </row>
    <row r="73" spans="1:37" s="25" customFormat="1" ht="17.25" customHeight="1">
      <c r="A73" s="173"/>
      <c r="B73" s="174"/>
      <c r="C73" s="175"/>
      <c r="E73" s="175"/>
      <c r="F73" s="176"/>
      <c r="H73" s="176"/>
      <c r="J73" s="176"/>
      <c r="L73" s="176"/>
      <c r="N73" s="176"/>
      <c r="P73" s="176"/>
      <c r="S73" s="176"/>
      <c r="U73" s="176"/>
      <c r="AK73" s="5"/>
    </row>
    <row r="74" spans="1:37" s="25" customFormat="1" ht="17.25" customHeight="1">
      <c r="A74" s="173"/>
      <c r="B74" s="174"/>
      <c r="C74" s="175"/>
      <c r="E74" s="175"/>
      <c r="F74" s="176"/>
      <c r="H74" s="176"/>
      <c r="J74" s="176"/>
      <c r="L74" s="176"/>
      <c r="N74" s="176"/>
      <c r="P74" s="176"/>
      <c r="S74" s="176"/>
      <c r="U74" s="176"/>
      <c r="AK74" s="5"/>
    </row>
    <row r="75" spans="1:37" s="25" customFormat="1" ht="17.25" customHeight="1">
      <c r="A75" s="173"/>
      <c r="B75" s="174"/>
      <c r="C75" s="175"/>
      <c r="E75" s="175"/>
      <c r="F75" s="176"/>
      <c r="H75" s="176"/>
      <c r="J75" s="176"/>
      <c r="L75" s="176"/>
      <c r="N75" s="176"/>
      <c r="P75" s="176"/>
      <c r="S75" s="176"/>
      <c r="U75" s="176"/>
      <c r="AK75" s="5"/>
    </row>
    <row r="76" spans="1:37" s="25" customFormat="1" ht="17.25" customHeight="1">
      <c r="A76" s="173"/>
      <c r="B76" s="174"/>
      <c r="C76" s="175"/>
      <c r="D76" s="25" t="s">
        <v>215</v>
      </c>
      <c r="E76" s="175"/>
      <c r="F76" s="176"/>
      <c r="H76" s="176"/>
      <c r="J76" s="176"/>
      <c r="L76" s="176"/>
      <c r="N76" s="176"/>
      <c r="P76" s="176"/>
      <c r="S76" s="176"/>
      <c r="U76" s="176"/>
      <c r="AK76" s="5"/>
    </row>
    <row r="77" spans="1:37" s="25" customFormat="1" ht="17.25" customHeight="1">
      <c r="A77" s="173"/>
      <c r="B77" s="174"/>
      <c r="C77" s="175"/>
      <c r="E77" s="84">
        <f ca="1">MONTH(TODAY())</f>
        <v>11</v>
      </c>
      <c r="F77" s="182" t="str">
        <f t="array" aca="1" ref="F77" ca="1">_xlfn.CHOOSEROWS(H$89:H$112,E77)&amp;" "&amp;_xlfn.CHOOSEROWS(I$89:I$112,E77)</f>
        <v>November 2025</v>
      </c>
      <c r="G77" s="176"/>
      <c r="H77" s="84"/>
      <c r="I77" s="176"/>
      <c r="J77" s="176"/>
      <c r="L77" s="176"/>
      <c r="N77" s="176"/>
      <c r="P77" s="176"/>
      <c r="S77" s="176"/>
      <c r="U77" s="176"/>
      <c r="AK77" s="5"/>
    </row>
    <row r="78" spans="1:37" s="25" customFormat="1" ht="17.25" customHeight="1">
      <c r="A78" s="173"/>
      <c r="B78" s="174"/>
      <c r="C78" s="175"/>
      <c r="E78" s="84">
        <f ca="1">E77+1</f>
        <v>12</v>
      </c>
      <c r="F78" s="182" t="str">
        <f t="array" aca="1" ref="F78" ca="1">_xlfn.CHOOSEROWS(H$89:H$112,E78)&amp;" "&amp;_xlfn.CHOOSEROWS(I$89:I$112,E78)</f>
        <v>Dezember 2025</v>
      </c>
      <c r="G78" s="176"/>
      <c r="H78" s="84"/>
      <c r="I78" s="176"/>
      <c r="J78" s="176"/>
      <c r="L78" s="176"/>
      <c r="N78" s="176"/>
      <c r="P78" s="176"/>
      <c r="S78" s="176"/>
      <c r="U78" s="176"/>
      <c r="AK78" s="5"/>
    </row>
    <row r="79" spans="1:37" s="25" customFormat="1" ht="17.25" customHeight="1">
      <c r="A79" s="173"/>
      <c r="B79" s="174"/>
      <c r="C79" s="175"/>
      <c r="E79" s="84">
        <f t="shared" ref="E79:E83" ca="1" si="12">E78+1</f>
        <v>13</v>
      </c>
      <c r="F79" s="182" t="str">
        <f t="array" aca="1" ref="F79" ca="1">_xlfn.CHOOSEROWS(H$89:H$112,E79)&amp;" "&amp;_xlfn.CHOOSEROWS(I$89:I$112,E79)</f>
        <v>Januar 2026</v>
      </c>
      <c r="G79" s="176"/>
      <c r="H79" s="84"/>
      <c r="I79" s="176"/>
      <c r="J79" s="176"/>
      <c r="L79" s="176"/>
      <c r="N79" s="176"/>
      <c r="P79" s="176"/>
      <c r="S79" s="176"/>
      <c r="U79" s="176"/>
      <c r="AK79" s="5"/>
    </row>
    <row r="80" spans="1:37" s="25" customFormat="1" ht="17.25" customHeight="1">
      <c r="A80" s="173"/>
      <c r="B80" s="174"/>
      <c r="C80" s="175"/>
      <c r="E80" s="84">
        <f t="shared" ca="1" si="12"/>
        <v>14</v>
      </c>
      <c r="F80" s="182" t="str">
        <f t="array" aca="1" ref="F80" ca="1">_xlfn.CHOOSEROWS(H$89:H$112,E80)&amp;" "&amp;_xlfn.CHOOSEROWS(I$89:I$112,E80)</f>
        <v>Februar 2026</v>
      </c>
      <c r="G80" s="176"/>
      <c r="H80" s="84"/>
      <c r="I80" s="176"/>
      <c r="J80" s="176"/>
      <c r="L80" s="176"/>
      <c r="N80" s="176"/>
      <c r="P80" s="176"/>
      <c r="S80" s="176"/>
      <c r="U80" s="176"/>
      <c r="AK80" s="5"/>
    </row>
    <row r="81" spans="1:37" s="25" customFormat="1" ht="17.25" customHeight="1">
      <c r="A81" s="173"/>
      <c r="B81" s="174"/>
      <c r="C81" s="175"/>
      <c r="E81" s="84">
        <f t="shared" ca="1" si="12"/>
        <v>15</v>
      </c>
      <c r="F81" s="182" t="str">
        <f t="array" aca="1" ref="F81" ca="1">_xlfn.CHOOSEROWS(H$89:H$112,E81)&amp;" "&amp;_xlfn.CHOOSEROWS(I$89:I$112,E81)</f>
        <v>März 2026</v>
      </c>
      <c r="G81" s="176"/>
      <c r="H81" s="84"/>
      <c r="I81" s="176"/>
      <c r="J81" s="176"/>
      <c r="L81" s="176"/>
      <c r="N81" s="176"/>
      <c r="P81" s="176"/>
      <c r="S81" s="176"/>
      <c r="U81" s="176"/>
      <c r="AK81" s="5"/>
    </row>
    <row r="82" spans="1:37" s="25" customFormat="1" ht="17.25" customHeight="1">
      <c r="A82" s="173"/>
      <c r="B82" s="174"/>
      <c r="C82" s="175"/>
      <c r="E82" s="84">
        <f t="shared" ca="1" si="12"/>
        <v>16</v>
      </c>
      <c r="F82" s="182" t="str">
        <f t="array" aca="1" ref="F82" ca="1">_xlfn.CHOOSEROWS(H$89:H$112,E82)&amp;" "&amp;_xlfn.CHOOSEROWS(I$89:I$112,E82)</f>
        <v>April 2026</v>
      </c>
      <c r="G82" s="176"/>
      <c r="H82" s="84"/>
      <c r="I82" s="176"/>
      <c r="J82" s="176"/>
      <c r="L82" s="176"/>
      <c r="N82" s="176"/>
      <c r="P82" s="176"/>
      <c r="R82" s="176"/>
      <c r="T82" s="176"/>
      <c r="V82" s="176"/>
      <c r="AK82" s="5"/>
    </row>
    <row r="83" spans="1:37" s="25" customFormat="1" ht="17.25" customHeight="1">
      <c r="A83" s="173"/>
      <c r="B83" s="174"/>
      <c r="C83" s="175"/>
      <c r="E83" s="84">
        <f t="shared" ca="1" si="12"/>
        <v>17</v>
      </c>
      <c r="F83" s="182" t="str">
        <f t="array" aca="1" ref="F83" ca="1">_xlfn.CHOOSEROWS(H$89:H$112,E83)&amp;" "&amp;_xlfn.CHOOSEROWS(I$89:I$112,E83)</f>
        <v>Mai 2026</v>
      </c>
      <c r="G83" s="176"/>
      <c r="H83" s="84"/>
      <c r="I83" s="176"/>
      <c r="J83" s="176"/>
      <c r="L83" s="176"/>
      <c r="N83" s="176"/>
      <c r="P83" s="176"/>
      <c r="R83" s="176"/>
      <c r="T83" s="176"/>
      <c r="V83" s="176"/>
      <c r="AK83" s="5"/>
    </row>
    <row r="84" spans="1:37" s="25" customFormat="1" ht="17.25" customHeight="1">
      <c r="A84" s="173"/>
      <c r="B84" s="174"/>
      <c r="C84" s="175"/>
      <c r="E84" s="84"/>
      <c r="F84" s="182"/>
      <c r="G84" s="176"/>
      <c r="H84" s="84"/>
      <c r="I84" s="176"/>
      <c r="J84" s="176"/>
      <c r="L84" s="176"/>
      <c r="N84" s="176"/>
      <c r="P84" s="176"/>
      <c r="R84" s="176"/>
      <c r="T84" s="176"/>
      <c r="V84" s="176"/>
      <c r="AK84" s="5"/>
    </row>
    <row r="85" spans="1:37" s="25" customFormat="1" ht="17.25" customHeight="1">
      <c r="A85" s="173"/>
      <c r="B85" s="174"/>
      <c r="C85" s="175"/>
      <c r="E85" s="84">
        <v>13</v>
      </c>
      <c r="F85" s="182" t="str">
        <f t="array" ref="F85">_xlfn.CHOOSEROWS(H$89:H$112,E85)&amp;" "&amp;_xlfn.CHOOSEROWS(I$89:I$112,E85)</f>
        <v>Januar 2026</v>
      </c>
      <c r="G85" s="176"/>
      <c r="H85" s="84"/>
      <c r="I85" s="176"/>
      <c r="J85" s="176"/>
      <c r="L85" s="176"/>
      <c r="N85" s="176"/>
      <c r="P85" s="176"/>
      <c r="R85" s="176"/>
      <c r="T85" s="176"/>
      <c r="V85" s="176"/>
      <c r="AK85" s="5"/>
    </row>
    <row r="86" spans="1:37" s="25" customFormat="1" ht="17.25" customHeight="1">
      <c r="A86" s="173"/>
      <c r="B86" s="174"/>
      <c r="C86" s="175"/>
      <c r="E86" s="84"/>
      <c r="F86" s="175"/>
      <c r="G86" s="176"/>
      <c r="H86" s="84"/>
      <c r="I86" s="176"/>
      <c r="J86" s="176"/>
      <c r="L86" s="176"/>
      <c r="N86" s="176"/>
      <c r="P86" s="176"/>
      <c r="R86" s="176"/>
      <c r="T86" s="176"/>
      <c r="V86" s="176"/>
      <c r="AK86" s="5"/>
    </row>
    <row r="87" spans="1:37" s="25" customFormat="1" ht="17.25" customHeight="1">
      <c r="A87" s="173"/>
      <c r="B87" s="174"/>
      <c r="C87" s="175"/>
      <c r="E87" s="84"/>
      <c r="F87" s="175"/>
      <c r="G87" s="176"/>
      <c r="H87" s="84"/>
      <c r="I87" s="176"/>
      <c r="J87" s="176"/>
      <c r="L87" s="176"/>
      <c r="N87" s="176"/>
      <c r="P87" s="176"/>
      <c r="R87" s="176"/>
      <c r="T87" s="176"/>
      <c r="V87" s="176"/>
      <c r="AK87" s="5"/>
    </row>
    <row r="88" spans="1:37" s="25" customFormat="1" ht="17.25" customHeight="1">
      <c r="A88" s="173"/>
      <c r="B88" s="174"/>
      <c r="C88" s="175"/>
      <c r="E88" s="84"/>
      <c r="F88" s="175" t="str">
        <f t="array" ref="F88">_xlfn.CHOOSEROWS(H88:H94,3)</f>
        <v>Februar</v>
      </c>
      <c r="G88" s="176"/>
      <c r="H88" s="84"/>
      <c r="I88" s="176"/>
      <c r="J88" s="176"/>
      <c r="L88" s="176"/>
      <c r="N88" s="176"/>
      <c r="P88" s="176"/>
      <c r="R88" s="176"/>
      <c r="T88" s="176"/>
      <c r="V88" s="176"/>
      <c r="AK88" s="5"/>
    </row>
    <row r="89" spans="1:37" s="25" customFormat="1" ht="17.25" customHeight="1">
      <c r="A89" s="173"/>
      <c r="B89" s="174"/>
      <c r="C89" s="175"/>
      <c r="E89" s="84"/>
      <c r="F89" s="175"/>
      <c r="G89" s="176">
        <v>1</v>
      </c>
      <c r="H89" s="84" t="s">
        <v>219</v>
      </c>
      <c r="I89" s="176">
        <v>2025</v>
      </c>
      <c r="J89" s="176"/>
      <c r="L89" s="176"/>
      <c r="N89" s="176"/>
      <c r="P89" s="176"/>
      <c r="R89" s="176"/>
      <c r="T89" s="176"/>
      <c r="V89" s="176"/>
      <c r="AK89" s="5"/>
    </row>
    <row r="90" spans="1:37" s="25" customFormat="1" ht="17.25" customHeight="1">
      <c r="A90" s="173"/>
      <c r="B90" s="174"/>
      <c r="C90" s="175"/>
      <c r="E90" s="84"/>
      <c r="F90" s="175"/>
      <c r="G90" s="176">
        <v>2</v>
      </c>
      <c r="H90" s="84" t="s">
        <v>220</v>
      </c>
      <c r="I90" s="176">
        <v>2025</v>
      </c>
      <c r="J90" s="176"/>
      <c r="L90" s="176"/>
      <c r="N90" s="176"/>
      <c r="P90" s="176"/>
      <c r="R90" s="176"/>
      <c r="T90" s="176"/>
      <c r="V90" s="176"/>
      <c r="AK90" s="5"/>
    </row>
    <row r="91" spans="1:37" s="25" customFormat="1" ht="17.25" customHeight="1">
      <c r="A91" s="173"/>
      <c r="B91" s="174"/>
      <c r="C91" s="175"/>
      <c r="E91" s="84"/>
      <c r="F91" s="175"/>
      <c r="G91" s="176">
        <v>3</v>
      </c>
      <c r="H91" s="84" t="s">
        <v>221</v>
      </c>
      <c r="I91" s="176">
        <v>2025</v>
      </c>
      <c r="J91" s="176"/>
      <c r="L91" s="176"/>
      <c r="N91" s="176"/>
      <c r="P91" s="176"/>
      <c r="R91" s="176"/>
      <c r="T91" s="176"/>
      <c r="V91" s="176"/>
      <c r="AK91" s="5"/>
    </row>
    <row r="92" spans="1:37" s="25" customFormat="1" ht="17.25" customHeight="1">
      <c r="A92" s="173"/>
      <c r="B92" s="174"/>
      <c r="C92" s="175"/>
      <c r="E92" s="84"/>
      <c r="F92" s="175"/>
      <c r="G92" s="176">
        <v>4</v>
      </c>
      <c r="H92" s="84" t="s">
        <v>222</v>
      </c>
      <c r="I92" s="176">
        <v>2025</v>
      </c>
      <c r="J92" s="176"/>
      <c r="L92" s="176"/>
      <c r="N92" s="176"/>
      <c r="P92" s="176"/>
      <c r="R92" s="176"/>
      <c r="T92" s="176"/>
      <c r="V92" s="176"/>
      <c r="AK92" s="5"/>
    </row>
    <row r="93" spans="1:37" s="25" customFormat="1" ht="17.25" customHeight="1">
      <c r="A93" s="173"/>
      <c r="B93" s="174"/>
      <c r="C93" s="175"/>
      <c r="E93" s="84"/>
      <c r="F93" s="175"/>
      <c r="G93" s="176">
        <v>5</v>
      </c>
      <c r="H93" s="84" t="s">
        <v>223</v>
      </c>
      <c r="I93" s="176">
        <v>2025</v>
      </c>
      <c r="J93" s="176"/>
      <c r="L93" s="176"/>
      <c r="N93" s="176"/>
      <c r="P93" s="176"/>
      <c r="R93" s="176"/>
      <c r="T93" s="176"/>
      <c r="V93" s="176"/>
      <c r="AK93" s="5"/>
    </row>
    <row r="94" spans="1:37" s="25" customFormat="1" ht="17.25" customHeight="1">
      <c r="A94" s="173"/>
      <c r="B94" s="174"/>
      <c r="C94" s="175"/>
      <c r="E94" s="84"/>
      <c r="F94" s="175"/>
      <c r="G94" s="176">
        <v>6</v>
      </c>
      <c r="H94" s="84" t="s">
        <v>224</v>
      </c>
      <c r="I94" s="176">
        <v>2025</v>
      </c>
      <c r="J94" s="176"/>
      <c r="L94" s="176"/>
      <c r="N94" s="176"/>
      <c r="P94" s="176"/>
      <c r="R94" s="176"/>
      <c r="T94" s="176"/>
      <c r="V94" s="176"/>
      <c r="AK94" s="5"/>
    </row>
    <row r="95" spans="1:37" s="25" customFormat="1" ht="17.25" customHeight="1">
      <c r="A95" s="173"/>
      <c r="B95" s="174"/>
      <c r="C95" s="175"/>
      <c r="E95" s="84"/>
      <c r="F95" s="175"/>
      <c r="G95" s="176">
        <v>7</v>
      </c>
      <c r="H95" s="84" t="s">
        <v>225</v>
      </c>
      <c r="I95" s="176">
        <v>2025</v>
      </c>
      <c r="J95" s="176"/>
      <c r="L95" s="176"/>
      <c r="N95" s="176"/>
      <c r="P95" s="176"/>
      <c r="R95" s="176"/>
      <c r="T95" s="176"/>
      <c r="V95" s="176"/>
      <c r="AK95" s="5"/>
    </row>
    <row r="96" spans="1:37" s="25" customFormat="1" ht="17.25" customHeight="1">
      <c r="A96" s="173"/>
      <c r="B96" s="174"/>
      <c r="C96" s="175"/>
      <c r="E96" s="84"/>
      <c r="F96" s="175"/>
      <c r="G96" s="176">
        <v>8</v>
      </c>
      <c r="H96" s="84" t="s">
        <v>226</v>
      </c>
      <c r="I96" s="176">
        <v>2025</v>
      </c>
      <c r="J96" s="176"/>
      <c r="L96" s="176"/>
      <c r="N96" s="176"/>
      <c r="P96" s="176"/>
      <c r="R96" s="176"/>
      <c r="T96" s="176"/>
      <c r="V96" s="176"/>
      <c r="AK96" s="5"/>
    </row>
    <row r="97" spans="1:37" s="25" customFormat="1" ht="17.25" customHeight="1">
      <c r="A97" s="173"/>
      <c r="B97" s="174"/>
      <c r="C97" s="175"/>
      <c r="E97" s="84"/>
      <c r="F97" s="175"/>
      <c r="G97" s="176">
        <v>9</v>
      </c>
      <c r="H97" s="84" t="s">
        <v>227</v>
      </c>
      <c r="I97" s="176">
        <v>2025</v>
      </c>
      <c r="J97" s="176"/>
      <c r="L97" s="176"/>
      <c r="N97" s="176"/>
      <c r="P97" s="176"/>
      <c r="R97" s="176"/>
      <c r="T97" s="176"/>
      <c r="V97" s="176"/>
      <c r="AK97" s="5"/>
    </row>
    <row r="98" spans="1:37" s="25" customFormat="1" ht="17.25" customHeight="1">
      <c r="A98" s="173"/>
      <c r="B98" s="174"/>
      <c r="C98" s="175"/>
      <c r="E98" s="84"/>
      <c r="F98" s="175"/>
      <c r="G98" s="176">
        <v>10</v>
      </c>
      <c r="H98" s="84" t="s">
        <v>228</v>
      </c>
      <c r="I98" s="176">
        <v>2025</v>
      </c>
      <c r="J98" s="176"/>
      <c r="L98" s="176"/>
      <c r="N98" s="176"/>
      <c r="P98" s="176"/>
      <c r="R98" s="176"/>
      <c r="T98" s="176"/>
      <c r="V98" s="176"/>
      <c r="AK98" s="5"/>
    </row>
    <row r="99" spans="1:37" s="25" customFormat="1" ht="17.25" customHeight="1">
      <c r="A99" s="173"/>
      <c r="B99" s="174"/>
      <c r="C99" s="175"/>
      <c r="E99" s="84"/>
      <c r="F99" s="175"/>
      <c r="G99" s="176">
        <v>11</v>
      </c>
      <c r="H99" s="84" t="s">
        <v>229</v>
      </c>
      <c r="I99" s="176">
        <v>2025</v>
      </c>
      <c r="J99" s="176"/>
      <c r="L99" s="176"/>
      <c r="N99" s="176"/>
      <c r="P99" s="176"/>
      <c r="R99" s="176"/>
      <c r="T99" s="176"/>
      <c r="V99" s="176"/>
      <c r="AK99" s="5"/>
    </row>
    <row r="100" spans="1:37" s="25" customFormat="1" ht="17.25" customHeight="1">
      <c r="A100" s="173"/>
      <c r="B100" s="174"/>
      <c r="C100" s="175"/>
      <c r="E100" s="84"/>
      <c r="F100" s="175"/>
      <c r="G100" s="176">
        <v>12</v>
      </c>
      <c r="H100" s="84" t="s">
        <v>230</v>
      </c>
      <c r="I100" s="176">
        <v>2025</v>
      </c>
      <c r="J100" s="176"/>
      <c r="L100" s="176"/>
      <c r="N100" s="176"/>
      <c r="P100" s="176"/>
      <c r="R100" s="176"/>
      <c r="T100" s="176"/>
      <c r="V100" s="176"/>
      <c r="AK100" s="5"/>
    </row>
    <row r="101" spans="1:37" s="25" customFormat="1" ht="17.25" customHeight="1">
      <c r="A101" s="173"/>
      <c r="B101" s="174"/>
      <c r="C101" s="175"/>
      <c r="E101" s="84"/>
      <c r="F101" s="175"/>
      <c r="G101" s="176">
        <v>13</v>
      </c>
      <c r="H101" s="84" t="s">
        <v>219</v>
      </c>
      <c r="I101" s="176">
        <v>2026</v>
      </c>
      <c r="J101" s="176"/>
      <c r="L101" s="176"/>
      <c r="N101" s="176"/>
      <c r="P101" s="176"/>
      <c r="R101" s="176"/>
      <c r="T101" s="176"/>
      <c r="V101" s="176"/>
      <c r="AK101" s="5"/>
    </row>
    <row r="102" spans="1:37" s="25" customFormat="1" ht="17.25" customHeight="1">
      <c r="A102" s="173"/>
      <c r="B102" s="174"/>
      <c r="C102" s="175"/>
      <c r="E102" s="84"/>
      <c r="F102" s="175"/>
      <c r="G102" s="176">
        <v>14</v>
      </c>
      <c r="H102" s="84" t="s">
        <v>220</v>
      </c>
      <c r="I102" s="176">
        <v>2026</v>
      </c>
      <c r="J102" s="176"/>
      <c r="L102" s="176"/>
      <c r="N102" s="176"/>
      <c r="P102" s="176"/>
      <c r="R102" s="176"/>
      <c r="T102" s="176"/>
      <c r="V102" s="176"/>
      <c r="AK102" s="5"/>
    </row>
    <row r="103" spans="1:37" s="25" customFormat="1" ht="17.25" customHeight="1">
      <c r="A103" s="173"/>
      <c r="B103" s="174"/>
      <c r="C103" s="175"/>
      <c r="E103" s="84"/>
      <c r="F103" s="175"/>
      <c r="G103" s="176">
        <v>15</v>
      </c>
      <c r="H103" s="84" t="s">
        <v>221</v>
      </c>
      <c r="I103" s="176">
        <v>2026</v>
      </c>
      <c r="J103" s="176"/>
      <c r="L103" s="176"/>
      <c r="N103" s="176"/>
      <c r="P103" s="176"/>
      <c r="R103" s="176"/>
      <c r="T103" s="176"/>
      <c r="V103" s="176"/>
      <c r="AK103" s="5"/>
    </row>
    <row r="104" spans="1:37" s="25" customFormat="1" ht="17.25" customHeight="1">
      <c r="A104" s="173"/>
      <c r="B104" s="174"/>
      <c r="C104" s="175"/>
      <c r="E104" s="84"/>
      <c r="F104" s="175"/>
      <c r="G104" s="176">
        <v>16</v>
      </c>
      <c r="H104" s="84" t="s">
        <v>222</v>
      </c>
      <c r="I104" s="176">
        <v>2026</v>
      </c>
      <c r="J104" s="176"/>
      <c r="L104" s="176"/>
      <c r="N104" s="176"/>
      <c r="P104" s="176"/>
      <c r="R104" s="176"/>
      <c r="T104" s="176"/>
      <c r="V104" s="176"/>
      <c r="AK104" s="5"/>
    </row>
    <row r="105" spans="1:37" s="25" customFormat="1" ht="17.25" customHeight="1">
      <c r="A105" s="173"/>
      <c r="B105" s="174"/>
      <c r="C105" s="175"/>
      <c r="E105" s="84"/>
      <c r="F105" s="175"/>
      <c r="G105" s="176">
        <v>17</v>
      </c>
      <c r="H105" s="84" t="s">
        <v>223</v>
      </c>
      <c r="I105" s="176">
        <v>2026</v>
      </c>
      <c r="J105" s="176"/>
      <c r="L105" s="176"/>
      <c r="N105" s="176"/>
      <c r="P105" s="176"/>
      <c r="R105" s="176"/>
      <c r="T105" s="176"/>
      <c r="V105" s="176"/>
      <c r="AK105" s="5"/>
    </row>
    <row r="106" spans="1:37" s="25" customFormat="1" ht="17.25" customHeight="1">
      <c r="A106" s="173"/>
      <c r="B106" s="174"/>
      <c r="C106" s="175"/>
      <c r="E106" s="84"/>
      <c r="F106" s="175"/>
      <c r="G106" s="176">
        <v>18</v>
      </c>
      <c r="H106" s="84" t="s">
        <v>224</v>
      </c>
      <c r="I106" s="176">
        <v>2026</v>
      </c>
      <c r="J106" s="176"/>
      <c r="L106" s="176"/>
      <c r="N106" s="176"/>
      <c r="P106" s="176"/>
      <c r="R106" s="176"/>
      <c r="T106" s="176"/>
      <c r="V106" s="176"/>
      <c r="AK106" s="5"/>
    </row>
    <row r="107" spans="1:37" s="25" customFormat="1" ht="17.25" customHeight="1">
      <c r="A107" s="173"/>
      <c r="B107" s="174"/>
      <c r="C107" s="175"/>
      <c r="E107" s="84"/>
      <c r="F107" s="175"/>
      <c r="G107" s="176">
        <v>19</v>
      </c>
      <c r="H107" s="84" t="s">
        <v>225</v>
      </c>
      <c r="I107" s="176">
        <v>2026</v>
      </c>
      <c r="J107" s="176"/>
      <c r="L107" s="176"/>
      <c r="N107" s="176"/>
      <c r="P107" s="176"/>
      <c r="R107" s="176"/>
      <c r="T107" s="176"/>
      <c r="V107" s="176"/>
      <c r="AK107" s="5"/>
    </row>
    <row r="108" spans="1:37" s="25" customFormat="1" ht="17.25" customHeight="1">
      <c r="A108" s="173"/>
      <c r="B108" s="174"/>
      <c r="C108" s="175"/>
      <c r="E108" s="84"/>
      <c r="F108" s="175"/>
      <c r="G108" s="176">
        <v>20</v>
      </c>
      <c r="H108" s="84" t="s">
        <v>226</v>
      </c>
      <c r="I108" s="176">
        <v>2026</v>
      </c>
      <c r="J108" s="176"/>
      <c r="L108" s="176"/>
      <c r="N108" s="176"/>
      <c r="P108" s="176"/>
      <c r="R108" s="176"/>
      <c r="T108" s="176"/>
      <c r="V108" s="176"/>
      <c r="AK108" s="5"/>
    </row>
    <row r="109" spans="1:37" s="25" customFormat="1" ht="17.25" customHeight="1">
      <c r="A109" s="173"/>
      <c r="B109" s="174"/>
      <c r="C109" s="175"/>
      <c r="E109" s="84"/>
      <c r="F109" s="175"/>
      <c r="G109" s="176">
        <v>21</v>
      </c>
      <c r="H109" s="84" t="s">
        <v>227</v>
      </c>
      <c r="I109" s="176">
        <v>2026</v>
      </c>
      <c r="J109" s="176"/>
      <c r="L109" s="176"/>
      <c r="N109" s="176"/>
      <c r="P109" s="176"/>
      <c r="R109" s="176"/>
      <c r="T109" s="176"/>
      <c r="V109" s="176"/>
      <c r="AK109" s="5"/>
    </row>
    <row r="110" spans="1:37" s="25" customFormat="1" ht="17.25" customHeight="1">
      <c r="A110" s="173"/>
      <c r="B110" s="174"/>
      <c r="C110" s="175"/>
      <c r="E110" s="84"/>
      <c r="F110" s="175"/>
      <c r="G110" s="176">
        <v>22</v>
      </c>
      <c r="H110" s="84" t="s">
        <v>228</v>
      </c>
      <c r="I110" s="176">
        <v>2026</v>
      </c>
      <c r="J110" s="176"/>
      <c r="L110" s="176"/>
      <c r="N110" s="176"/>
      <c r="P110" s="176"/>
      <c r="R110" s="176"/>
      <c r="T110" s="176"/>
      <c r="V110" s="176"/>
      <c r="AK110" s="5"/>
    </row>
    <row r="111" spans="1:37" s="25" customFormat="1" ht="17.25" customHeight="1">
      <c r="A111" s="173"/>
      <c r="B111" s="174"/>
      <c r="C111" s="175"/>
      <c r="E111" s="84"/>
      <c r="F111" s="175"/>
      <c r="G111" s="176">
        <v>23</v>
      </c>
      <c r="H111" s="84" t="s">
        <v>229</v>
      </c>
      <c r="I111" s="176">
        <v>2026</v>
      </c>
      <c r="J111" s="176"/>
      <c r="L111" s="176"/>
      <c r="N111" s="176"/>
      <c r="P111" s="176"/>
      <c r="R111" s="176"/>
      <c r="T111" s="176"/>
      <c r="V111" s="176"/>
      <c r="AK111" s="5"/>
    </row>
    <row r="112" spans="1:37" s="25" customFormat="1" ht="17.25" customHeight="1">
      <c r="A112" s="173"/>
      <c r="B112" s="174"/>
      <c r="C112" s="175"/>
      <c r="F112" s="175"/>
      <c r="G112" s="176">
        <v>24</v>
      </c>
      <c r="H112" s="25" t="s">
        <v>230</v>
      </c>
      <c r="I112" s="176">
        <v>2026</v>
      </c>
      <c r="J112" s="176"/>
      <c r="L112" s="176"/>
      <c r="N112" s="176"/>
      <c r="P112" s="176"/>
      <c r="R112" s="176"/>
      <c r="T112" s="176"/>
      <c r="V112" s="176"/>
      <c r="AK112" s="5"/>
    </row>
    <row r="113" spans="1:37" s="25" customFormat="1" ht="17.25" customHeight="1">
      <c r="A113" s="173"/>
      <c r="B113" s="174"/>
      <c r="C113" s="175"/>
      <c r="E113" s="175"/>
      <c r="F113" s="176"/>
      <c r="H113" s="176"/>
      <c r="J113" s="176"/>
      <c r="L113" s="176"/>
      <c r="N113" s="176"/>
      <c r="P113" s="176"/>
      <c r="R113" s="176"/>
      <c r="T113" s="176"/>
      <c r="V113" s="176"/>
      <c r="AK113" s="5"/>
    </row>
    <row r="114" spans="1:37" s="25" customFormat="1" ht="17.25" customHeight="1">
      <c r="A114" s="173"/>
      <c r="B114" s="174"/>
      <c r="C114" s="175"/>
      <c r="E114" s="175"/>
      <c r="F114" s="176"/>
      <c r="H114" s="176"/>
      <c r="J114" s="176"/>
      <c r="L114" s="176"/>
      <c r="N114" s="176"/>
      <c r="P114" s="176"/>
      <c r="R114" s="176"/>
      <c r="T114" s="176"/>
      <c r="V114" s="176"/>
      <c r="AK114" s="5"/>
    </row>
    <row r="115" spans="1:37" s="25" customFormat="1" ht="17.25" customHeight="1">
      <c r="A115" s="173"/>
      <c r="B115" s="174"/>
      <c r="C115" s="175"/>
      <c r="E115" s="175"/>
      <c r="F115" s="176"/>
      <c r="H115" s="176"/>
      <c r="J115" s="176"/>
      <c r="L115" s="176"/>
      <c r="N115" s="176"/>
      <c r="P115" s="176"/>
      <c r="R115" s="176"/>
      <c r="T115" s="176"/>
      <c r="V115" s="176"/>
      <c r="AK115" s="5"/>
    </row>
    <row r="116" spans="1:37" s="25" customFormat="1" ht="17.25" customHeight="1">
      <c r="A116" s="173"/>
      <c r="B116" s="174"/>
      <c r="C116" s="175"/>
      <c r="E116" s="175"/>
      <c r="F116" s="176"/>
      <c r="H116" s="176"/>
      <c r="J116" s="176"/>
      <c r="L116" s="176"/>
      <c r="N116" s="176"/>
      <c r="P116" s="176"/>
      <c r="R116" s="176"/>
      <c r="T116" s="176"/>
      <c r="V116" s="176"/>
      <c r="AK116" s="5"/>
    </row>
    <row r="117" spans="1:37" s="25" customFormat="1" ht="17.25" customHeight="1">
      <c r="A117" s="173"/>
      <c r="B117" s="174"/>
      <c r="C117" s="175"/>
      <c r="E117" s="175"/>
      <c r="F117" s="176"/>
      <c r="H117" s="176"/>
      <c r="J117" s="176"/>
      <c r="L117" s="176"/>
      <c r="N117" s="176"/>
      <c r="P117" s="176"/>
      <c r="R117" s="176"/>
      <c r="T117" s="176"/>
      <c r="V117" s="176"/>
      <c r="AK117" s="5"/>
    </row>
    <row r="118" spans="1:37" s="25" customFormat="1" ht="17.25" customHeight="1">
      <c r="A118" s="173"/>
      <c r="B118" s="174"/>
      <c r="C118" s="175"/>
      <c r="E118" s="175"/>
      <c r="F118" s="176"/>
      <c r="H118" s="176"/>
      <c r="J118" s="176"/>
      <c r="L118" s="176"/>
      <c r="N118" s="176"/>
      <c r="P118" s="176"/>
      <c r="R118" s="176"/>
      <c r="T118" s="176"/>
      <c r="V118" s="176"/>
      <c r="AK118" s="5"/>
    </row>
    <row r="119" spans="1:37" s="25" customFormat="1" ht="17.25" customHeight="1">
      <c r="A119" s="173"/>
      <c r="B119" s="174"/>
      <c r="C119" s="175"/>
      <c r="E119" s="175"/>
      <c r="F119" s="176"/>
      <c r="H119" s="176"/>
      <c r="J119" s="176"/>
      <c r="L119" s="176"/>
      <c r="N119" s="176"/>
      <c r="P119" s="176"/>
      <c r="R119" s="176"/>
      <c r="T119" s="176"/>
      <c r="V119" s="176"/>
      <c r="AK119" s="5"/>
    </row>
    <row r="120" spans="1:37" s="25" customFormat="1" ht="17.25" customHeight="1">
      <c r="A120" s="173"/>
      <c r="B120" s="174"/>
      <c r="C120" s="175"/>
      <c r="E120" s="175"/>
      <c r="F120" s="176"/>
      <c r="H120" s="176"/>
      <c r="J120" s="176"/>
      <c r="L120" s="176"/>
      <c r="N120" s="176"/>
      <c r="P120" s="176"/>
      <c r="R120" s="176"/>
      <c r="T120" s="176"/>
      <c r="V120" s="176"/>
      <c r="AK120" s="5"/>
    </row>
    <row r="121" spans="1:37" s="25" customFormat="1" ht="17.25" customHeight="1">
      <c r="A121" s="173"/>
      <c r="B121" s="174"/>
      <c r="C121" s="175"/>
      <c r="E121" s="175"/>
      <c r="F121" s="176"/>
      <c r="H121" s="176"/>
      <c r="J121" s="176"/>
      <c r="L121" s="176"/>
      <c r="N121" s="176"/>
      <c r="P121" s="176"/>
      <c r="R121" s="176"/>
      <c r="T121" s="176"/>
      <c r="V121" s="176"/>
      <c r="AK121" s="5"/>
    </row>
    <row r="122" spans="1:37" s="25" customFormat="1" ht="17.25" customHeight="1">
      <c r="A122" s="173"/>
      <c r="B122" s="174"/>
      <c r="C122" s="175"/>
      <c r="E122" s="175"/>
      <c r="F122" s="176"/>
      <c r="H122" s="176"/>
      <c r="J122" s="176"/>
      <c r="L122" s="176"/>
      <c r="N122" s="176"/>
      <c r="P122" s="176"/>
      <c r="R122" s="176"/>
      <c r="T122" s="176"/>
      <c r="V122" s="176"/>
      <c r="AK122" s="5"/>
    </row>
    <row r="123" spans="1:37" s="25" customFormat="1" ht="17.25" customHeight="1">
      <c r="A123" s="173"/>
      <c r="B123" s="174"/>
      <c r="C123" s="175"/>
      <c r="E123" s="175"/>
      <c r="F123" s="176"/>
      <c r="H123" s="176"/>
      <c r="J123" s="176"/>
      <c r="L123" s="176"/>
      <c r="N123" s="176"/>
      <c r="P123" s="176"/>
      <c r="R123" s="176"/>
      <c r="T123" s="176"/>
      <c r="V123" s="176"/>
      <c r="AK123" s="5"/>
    </row>
    <row r="124" spans="1:37" s="25" customFormat="1" ht="17.25" customHeight="1">
      <c r="A124" s="173"/>
      <c r="B124" s="174"/>
      <c r="C124" s="175"/>
      <c r="E124" s="175"/>
      <c r="F124" s="176"/>
      <c r="H124" s="176"/>
      <c r="J124" s="176"/>
      <c r="L124" s="176"/>
      <c r="N124" s="176"/>
      <c r="P124" s="176"/>
      <c r="R124" s="176"/>
      <c r="T124" s="176"/>
      <c r="V124" s="176"/>
      <c r="AK124" s="5"/>
    </row>
    <row r="125" spans="1:37" s="25" customFormat="1" ht="17.25" customHeight="1">
      <c r="A125" s="173"/>
      <c r="B125" s="174"/>
      <c r="C125" s="175"/>
      <c r="E125" s="175"/>
      <c r="F125" s="176"/>
      <c r="H125" s="176"/>
      <c r="J125" s="176"/>
      <c r="L125" s="176"/>
      <c r="N125" s="176"/>
      <c r="P125" s="176"/>
      <c r="R125" s="176"/>
      <c r="T125" s="176"/>
      <c r="V125" s="176"/>
      <c r="AK125" s="5"/>
    </row>
    <row r="126" spans="1:37" s="25" customFormat="1" ht="17.25" customHeight="1">
      <c r="A126" s="173"/>
      <c r="B126" s="174"/>
      <c r="C126" s="175"/>
      <c r="E126" s="175"/>
      <c r="F126" s="176"/>
      <c r="H126" s="176"/>
      <c r="J126" s="176"/>
      <c r="L126" s="176"/>
      <c r="N126" s="176"/>
      <c r="P126" s="176"/>
      <c r="R126" s="176"/>
      <c r="T126" s="176"/>
      <c r="V126" s="176"/>
      <c r="AK126" s="5"/>
    </row>
    <row r="127" spans="1:37" s="25" customFormat="1" ht="17.25" customHeight="1">
      <c r="A127" s="173"/>
      <c r="B127" s="174"/>
      <c r="C127" s="175"/>
      <c r="E127" s="175"/>
      <c r="F127" s="176"/>
      <c r="H127" s="176"/>
      <c r="J127" s="176"/>
      <c r="L127" s="176"/>
      <c r="N127" s="176"/>
      <c r="P127" s="176"/>
      <c r="R127" s="176"/>
      <c r="T127" s="176"/>
      <c r="V127" s="176"/>
      <c r="AK127" s="5"/>
    </row>
    <row r="128" spans="1:37" s="25" customFormat="1" ht="17.25" customHeight="1">
      <c r="A128" s="173"/>
      <c r="B128" s="174"/>
      <c r="C128" s="175"/>
      <c r="E128" s="175"/>
      <c r="F128" s="176"/>
      <c r="H128" s="176"/>
      <c r="J128" s="176"/>
      <c r="L128" s="176"/>
      <c r="N128" s="176"/>
      <c r="P128" s="176"/>
      <c r="R128" s="176"/>
      <c r="T128" s="176"/>
      <c r="V128" s="176"/>
      <c r="AK128" s="5"/>
    </row>
    <row r="129" spans="1:37" s="25" customFormat="1" ht="17.25" customHeight="1">
      <c r="A129" s="173"/>
      <c r="B129" s="174"/>
      <c r="C129" s="175"/>
      <c r="E129" s="175"/>
      <c r="F129" s="176"/>
      <c r="H129" s="176"/>
      <c r="J129" s="176"/>
      <c r="L129" s="176"/>
      <c r="N129" s="176"/>
      <c r="P129" s="176"/>
      <c r="R129" s="176"/>
      <c r="T129" s="176"/>
      <c r="V129" s="176"/>
      <c r="AK129" s="5"/>
    </row>
    <row r="130" spans="1:37" s="25" customFormat="1" ht="17.25" customHeight="1">
      <c r="A130" s="173"/>
      <c r="B130" s="174"/>
      <c r="C130" s="175"/>
      <c r="E130" s="175"/>
      <c r="F130" s="176"/>
      <c r="H130" s="176"/>
      <c r="J130" s="176"/>
      <c r="L130" s="176"/>
      <c r="N130" s="176"/>
      <c r="P130" s="176"/>
      <c r="R130" s="176"/>
      <c r="T130" s="176"/>
      <c r="V130" s="176"/>
      <c r="AK130" s="5"/>
    </row>
    <row r="131" spans="1:37" s="25" customFormat="1" ht="17.25" customHeight="1">
      <c r="A131" s="173"/>
      <c r="B131" s="174"/>
      <c r="C131" s="175"/>
      <c r="E131" s="175"/>
      <c r="F131" s="176"/>
      <c r="H131" s="176"/>
      <c r="J131" s="176"/>
      <c r="L131" s="176"/>
      <c r="N131" s="176"/>
      <c r="P131" s="176"/>
      <c r="R131" s="176"/>
      <c r="T131" s="176"/>
      <c r="V131" s="176"/>
      <c r="AK131" s="5"/>
    </row>
    <row r="132" spans="1:37" s="25" customFormat="1" ht="17.25" customHeight="1">
      <c r="A132" s="173"/>
      <c r="B132" s="174"/>
      <c r="C132" s="175"/>
      <c r="E132" s="175"/>
      <c r="F132" s="176"/>
      <c r="H132" s="176"/>
      <c r="J132" s="176"/>
      <c r="L132" s="176"/>
      <c r="N132" s="176"/>
      <c r="P132" s="176"/>
      <c r="R132" s="176"/>
      <c r="T132" s="176"/>
      <c r="V132" s="176"/>
      <c r="AK132" s="5"/>
    </row>
    <row r="133" spans="1:37" s="25" customFormat="1" ht="17.25" customHeight="1">
      <c r="A133" s="173"/>
      <c r="B133" s="174"/>
      <c r="C133" s="175"/>
      <c r="E133" s="175"/>
      <c r="F133" s="176"/>
      <c r="H133" s="176"/>
      <c r="J133" s="176"/>
      <c r="L133" s="176"/>
      <c r="N133" s="176"/>
      <c r="P133" s="176"/>
      <c r="R133" s="176"/>
      <c r="T133" s="176"/>
      <c r="V133" s="176"/>
      <c r="AK133" s="5"/>
    </row>
    <row r="134" spans="1:37" s="25" customFormat="1" ht="17.25" customHeight="1">
      <c r="A134" s="173"/>
      <c r="B134" s="174"/>
      <c r="C134" s="175"/>
      <c r="E134" s="175"/>
      <c r="F134" s="176"/>
      <c r="H134" s="176"/>
      <c r="J134" s="176"/>
      <c r="L134" s="176"/>
      <c r="N134" s="176"/>
      <c r="P134" s="176"/>
      <c r="R134" s="176"/>
      <c r="T134" s="176"/>
      <c r="V134" s="176"/>
      <c r="AK134" s="5"/>
    </row>
    <row r="135" spans="1:37" s="25" customFormat="1" ht="17.25" customHeight="1">
      <c r="A135" s="173"/>
      <c r="B135" s="174"/>
      <c r="C135" s="175"/>
      <c r="E135" s="175"/>
      <c r="F135" s="176"/>
      <c r="H135" s="176"/>
      <c r="J135" s="176"/>
      <c r="L135" s="176"/>
      <c r="N135" s="176"/>
      <c r="P135" s="176"/>
      <c r="R135" s="176"/>
      <c r="T135" s="176"/>
      <c r="V135" s="176"/>
      <c r="AK135" s="5"/>
    </row>
    <row r="136" spans="1:37" s="25" customFormat="1" ht="17.25" customHeight="1">
      <c r="A136" s="173"/>
      <c r="B136" s="174"/>
      <c r="C136" s="175"/>
      <c r="E136" s="175"/>
      <c r="F136" s="176"/>
      <c r="H136" s="176"/>
      <c r="J136" s="176"/>
      <c r="L136" s="176"/>
      <c r="N136" s="176"/>
      <c r="P136" s="176"/>
      <c r="R136" s="176"/>
      <c r="T136" s="176"/>
      <c r="V136" s="176"/>
      <c r="AK136" s="5"/>
    </row>
    <row r="137" spans="1:37" s="25" customFormat="1" ht="17.25" customHeight="1">
      <c r="A137" s="173"/>
      <c r="B137" s="174"/>
      <c r="C137" s="175"/>
      <c r="E137" s="175"/>
      <c r="F137" s="176"/>
      <c r="H137" s="176"/>
      <c r="J137" s="176"/>
      <c r="L137" s="176"/>
      <c r="N137" s="176"/>
      <c r="P137" s="176"/>
      <c r="R137" s="176"/>
      <c r="T137" s="176"/>
      <c r="V137" s="176"/>
      <c r="AK137" s="5"/>
    </row>
    <row r="138" spans="1:37" s="25" customFormat="1" ht="17.25" customHeight="1">
      <c r="A138" s="173"/>
      <c r="B138" s="174"/>
      <c r="C138" s="175"/>
      <c r="E138" s="175"/>
      <c r="F138" s="176"/>
      <c r="H138" s="176"/>
      <c r="J138" s="176"/>
      <c r="L138" s="176"/>
      <c r="N138" s="176"/>
      <c r="P138" s="176"/>
      <c r="R138" s="176"/>
      <c r="T138" s="176"/>
      <c r="V138" s="176"/>
      <c r="AK138" s="5"/>
    </row>
    <row r="139" spans="1:37" s="25" customFormat="1" ht="17.25" customHeight="1">
      <c r="A139" s="173"/>
      <c r="B139" s="174"/>
      <c r="C139" s="175"/>
      <c r="E139" s="175"/>
      <c r="F139" s="176"/>
      <c r="H139" s="176"/>
      <c r="J139" s="176"/>
      <c r="L139" s="176"/>
      <c r="N139" s="176"/>
      <c r="P139" s="176"/>
      <c r="R139" s="176"/>
      <c r="T139" s="176"/>
      <c r="V139" s="176"/>
      <c r="AK139" s="5"/>
    </row>
    <row r="140" spans="1:37" s="25" customFormat="1" ht="17.25" customHeight="1">
      <c r="A140" s="173"/>
      <c r="B140" s="174"/>
      <c r="C140" s="175"/>
      <c r="E140" s="175"/>
      <c r="F140" s="176"/>
      <c r="H140" s="176"/>
      <c r="J140" s="176"/>
      <c r="L140" s="176"/>
      <c r="N140" s="176"/>
      <c r="P140" s="176"/>
      <c r="R140" s="176"/>
      <c r="T140" s="176"/>
      <c r="V140" s="176"/>
      <c r="AK140" s="5"/>
    </row>
    <row r="141" spans="1:37" s="25" customFormat="1" ht="17.25" customHeight="1">
      <c r="A141" s="173"/>
      <c r="B141" s="174"/>
      <c r="C141" s="175"/>
      <c r="E141" s="175"/>
      <c r="F141" s="176"/>
      <c r="H141" s="176"/>
      <c r="J141" s="176"/>
      <c r="L141" s="176"/>
      <c r="N141" s="176"/>
      <c r="P141" s="176"/>
      <c r="R141" s="176"/>
      <c r="T141" s="176"/>
      <c r="V141" s="176"/>
      <c r="AK141" s="5"/>
    </row>
    <row r="142" spans="1:37" s="25" customFormat="1" ht="17.25" customHeight="1">
      <c r="A142" s="173"/>
      <c r="B142" s="174"/>
      <c r="C142" s="175"/>
      <c r="E142" s="175"/>
      <c r="F142" s="176"/>
      <c r="H142" s="176"/>
      <c r="J142" s="176"/>
      <c r="L142" s="176"/>
      <c r="N142" s="176"/>
      <c r="P142" s="176"/>
      <c r="R142" s="176"/>
      <c r="T142" s="176"/>
      <c r="V142" s="176"/>
      <c r="AK142" s="5"/>
    </row>
  </sheetData>
  <conditionalFormatting sqref="AK2:AK20 AK25:AK38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21:AK24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39:AK145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3" r:id="rId1" xr:uid="{C2C1F993-9216-44D5-A746-34215E9D74ED}"/>
  </hyperlinks>
  <pageMargins left="0.7" right="0.7" top="0.75" bottom="0.75" header="0.3" footer="0.3"/>
  <pageSetup paperSize="9" orientation="portrait" useFirstPageNumber="1" horizontalDpi="4294967295" verticalDpi="429496729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M130"/>
  <sheetViews>
    <sheetView zoomScale="85" zoomScaleNormal="100" workbookViewId="0">
      <selection activeCell="H1" sqref="H1"/>
    </sheetView>
  </sheetViews>
  <sheetFormatPr defaultRowHeight="17.25" customHeight="1"/>
  <cols>
    <col min="1" max="1" width="9.140625" style="27" customWidth="1"/>
    <col min="2" max="2" width="42.28515625" style="28" customWidth="1"/>
    <col min="3" max="3" width="77" style="29" customWidth="1"/>
    <col min="4" max="4" width="7.140625" style="30" customWidth="1"/>
    <col min="5" max="5" width="34.5703125" style="29" customWidth="1"/>
    <col min="6" max="6" width="18.140625" style="31" customWidth="1"/>
    <col min="7" max="7" width="20.85546875" style="30" customWidth="1"/>
    <col min="8" max="8" width="24.5703125" style="31" customWidth="1"/>
    <col min="9" max="9" width="39.140625" style="30" customWidth="1"/>
    <col min="10" max="10" width="5.85546875" style="31" customWidth="1"/>
    <col min="11" max="11" width="22.7109375" style="30" customWidth="1"/>
    <col min="12" max="12" width="5.85546875" style="31" customWidth="1"/>
    <col min="13" max="13" width="29.28515625" style="30" customWidth="1"/>
    <col min="14" max="14" width="5.85546875" style="31" customWidth="1"/>
    <col min="15" max="15" width="37.28515625" style="30" customWidth="1"/>
    <col min="16" max="16" width="5.85546875" style="31" customWidth="1"/>
    <col min="17" max="17" width="5.85546875" style="30" customWidth="1"/>
    <col min="18" max="18" width="5.85546875" style="31" customWidth="1"/>
    <col min="19" max="19" width="5.85546875" style="30" customWidth="1"/>
    <col min="20" max="20" width="5.85546875" style="31" customWidth="1"/>
    <col min="21" max="21" width="5.85546875" style="30" customWidth="1"/>
    <col min="22" max="22" width="5.85546875" style="31" customWidth="1"/>
    <col min="23" max="27" width="5.85546875" style="30" customWidth="1"/>
    <col min="28" max="33" width="9.140625" style="30" customWidth="1"/>
    <col min="34" max="34" width="30" style="30" customWidth="1"/>
    <col min="35" max="35" width="50" style="30" customWidth="1"/>
    <col min="36" max="36" width="30" style="30" customWidth="1"/>
    <col min="37" max="37" width="14.7109375" style="5" customWidth="1"/>
    <col min="38" max="38" width="9.140625" style="30" customWidth="1"/>
    <col min="39" max="16384" width="9.140625" style="30"/>
  </cols>
  <sheetData>
    <row r="1" spans="1:39" s="167" customFormat="1" ht="17.25" customHeight="1">
      <c r="A1" s="159" t="s">
        <v>0</v>
      </c>
      <c r="B1" s="159" t="s">
        <v>1</v>
      </c>
      <c r="C1" s="159" t="s">
        <v>2</v>
      </c>
      <c r="D1" s="164" t="s">
        <v>3</v>
      </c>
      <c r="E1" s="165" t="s">
        <v>250</v>
      </c>
      <c r="F1" s="404" t="s">
        <v>4</v>
      </c>
      <c r="G1" s="32">
        <f>5*60*1000*SpeedFaktor</f>
        <v>300000</v>
      </c>
      <c r="H1" s="166"/>
      <c r="J1" s="166"/>
      <c r="L1" s="166"/>
      <c r="N1" s="166"/>
      <c r="P1" s="166"/>
      <c r="R1" s="166"/>
      <c r="T1" s="166"/>
      <c r="V1" s="166"/>
      <c r="AG1" s="167" t="s">
        <v>5</v>
      </c>
      <c r="AH1" s="167" t="s">
        <v>9</v>
      </c>
      <c r="AI1" s="167" t="s">
        <v>8</v>
      </c>
      <c r="AJ1" s="167" t="s">
        <v>10</v>
      </c>
      <c r="AK1" s="168" t="s">
        <v>8</v>
      </c>
      <c r="AL1" s="167" t="s">
        <v>12</v>
      </c>
      <c r="AM1" s="167" t="s">
        <v>8</v>
      </c>
    </row>
    <row r="2" spans="1:39" ht="17.25" customHeight="1">
      <c r="A2" s="27">
        <v>1</v>
      </c>
      <c r="B2" s="28" t="s">
        <v>20</v>
      </c>
      <c r="C2" s="94" t="str">
        <f>'07-E2E'!B61</f>
        <v>{"url":p.aventisURL}</v>
      </c>
      <c r="D2" s="41"/>
      <c r="E2" s="29" t="str">
        <f>F2&amp;G2&amp;H2&amp;I2&amp;J2&amp;K2&amp;L2&amp;M2&amp;N2&amp;O2&amp;P2&amp;Q2&amp;R2&amp;S2&amp;T2&amp;U2&amp;V2&amp;W2&amp;X2</f>
        <v>{"url":"https://dev.aventis.swiss"}</v>
      </c>
      <c r="F2" s="95" t="s">
        <v>37</v>
      </c>
      <c r="G2" s="96" t="s">
        <v>38</v>
      </c>
      <c r="H2" s="95" t="s">
        <v>34</v>
      </c>
      <c r="I2" s="41"/>
      <c r="J2" s="95"/>
      <c r="K2" s="41"/>
      <c r="L2" s="95"/>
      <c r="M2" s="41"/>
      <c r="N2" s="95"/>
      <c r="O2" s="41"/>
      <c r="P2" s="95"/>
      <c r="Q2" s="41"/>
      <c r="R2" s="95"/>
      <c r="S2" s="41"/>
      <c r="T2" s="95"/>
      <c r="U2" s="41"/>
      <c r="V2" s="95"/>
      <c r="W2" s="41"/>
      <c r="X2" s="41"/>
      <c r="Y2" s="41"/>
      <c r="Z2" s="41"/>
      <c r="AA2" s="41"/>
      <c r="AB2" s="41"/>
      <c r="AC2" s="41"/>
      <c r="AD2" s="41"/>
      <c r="AE2" s="41"/>
      <c r="AF2" s="35"/>
      <c r="AG2" s="41"/>
      <c r="AH2" s="41">
        <v>346</v>
      </c>
      <c r="AI2" s="41">
        <f>AH2/$AH2</f>
        <v>1</v>
      </c>
      <c r="AJ2" s="41">
        <v>440</v>
      </c>
      <c r="AK2" s="26">
        <f>AJ2/$AH2</f>
        <v>1.2716763005780347</v>
      </c>
      <c r="AL2" s="30">
        <v>430</v>
      </c>
      <c r="AM2" s="30">
        <f>AL2/$AH2</f>
        <v>1.2427745664739884</v>
      </c>
    </row>
    <row r="3" spans="1:39" ht="17.25" customHeight="1">
      <c r="A3" s="27">
        <v>2</v>
      </c>
      <c r="B3" s="109" t="s">
        <v>21</v>
      </c>
      <c r="C3" s="41" t="s">
        <v>39</v>
      </c>
      <c r="D3" s="41"/>
      <c r="E3" s="29" t="str">
        <f>F3&amp;G3&amp;H3&amp;I3&amp;J3&amp;K3&amp;L3&amp;M3&amp;N3&amp;O3&amp;P3&amp;Q3&amp;R3&amp;S3&amp;T3&amp;U3&amp;V3&amp;W3&amp;X3</f>
        <v>{"url":"https://dev.aventis.swiss"}</v>
      </c>
      <c r="F3" s="95" t="s">
        <v>37</v>
      </c>
      <c r="G3" s="96" t="s">
        <v>38</v>
      </c>
      <c r="H3" s="95" t="s">
        <v>34</v>
      </c>
      <c r="I3" s="41"/>
      <c r="J3" s="95"/>
      <c r="K3" s="41"/>
      <c r="L3" s="95"/>
      <c r="M3" s="41"/>
      <c r="N3" s="95"/>
      <c r="O3" s="41"/>
      <c r="P3" s="95"/>
      <c r="Q3" s="41"/>
      <c r="R3" s="95"/>
      <c r="S3" s="41"/>
      <c r="T3" s="95"/>
      <c r="U3" s="41"/>
      <c r="V3" s="95"/>
      <c r="W3" s="41"/>
      <c r="X3" s="41"/>
      <c r="Y3" s="41"/>
      <c r="Z3" s="41"/>
      <c r="AA3" s="41"/>
      <c r="AB3" s="41"/>
      <c r="AC3" s="41"/>
      <c r="AD3" s="41"/>
      <c r="AE3" s="41"/>
      <c r="AF3" s="35"/>
      <c r="AG3" s="41"/>
      <c r="AH3" s="41">
        <v>1088</v>
      </c>
      <c r="AI3" s="41">
        <f t="shared" ref="AI3" si="0">AH3/$AH3</f>
        <v>1</v>
      </c>
      <c r="AJ3" s="41">
        <v>1277</v>
      </c>
      <c r="AK3" s="26">
        <f t="shared" ref="AK3:AM37" si="1">AJ3/$AH3</f>
        <v>1.1737132352941178</v>
      </c>
      <c r="AL3" s="30">
        <v>1200</v>
      </c>
      <c r="AM3" s="30">
        <f t="shared" si="1"/>
        <v>1.1029411764705883</v>
      </c>
    </row>
    <row r="4" spans="1:39" ht="17.25" customHeight="1">
      <c r="A4" s="27">
        <v>2</v>
      </c>
      <c r="B4" s="28" t="s">
        <v>23</v>
      </c>
      <c r="C4" s="41" t="str">
        <f>E4</f>
        <v>{"username":"bern.sozialarbeiterin1a@diartis.ch","password":"SMze97-jkSJ59!F.","fullname":"Sozialarbeiterin 1A Bern","team":"Sozialarbeit Bern 1"}</v>
      </c>
      <c r="D4" s="41"/>
      <c r="E4" s="29" t="str">
        <f>F4&amp;G4&amp;H4&amp;I4&amp;J4&amp;K4&amp;L4&amp;M4&amp;N4&amp;O4&amp;P4&amp;Q4&amp;R4&amp;S4&amp;T4&amp;U4&amp;V4&amp;W4&amp;X4</f>
        <v>{"username":"bern.sozialarbeiterin1a@diartis.ch","password":"SMze97-jkSJ59!F.","fullname":"Sozialarbeiterin 1A Bern","team":"Sozialarbeit Bern 1"}</v>
      </c>
      <c r="F4" s="101" t="s">
        <v>27</v>
      </c>
      <c r="G4" s="102" t="s">
        <v>41</v>
      </c>
      <c r="H4" s="95" t="s">
        <v>29</v>
      </c>
      <c r="I4" s="102" t="s">
        <v>42</v>
      </c>
      <c r="J4" s="95" t="s">
        <v>43</v>
      </c>
      <c r="K4" s="41" t="s">
        <v>44</v>
      </c>
      <c r="L4" s="95" t="s">
        <v>45</v>
      </c>
      <c r="M4" s="103" t="s">
        <v>46</v>
      </c>
      <c r="N4" s="95" t="s">
        <v>34</v>
      </c>
      <c r="O4" s="41"/>
      <c r="P4" s="95"/>
      <c r="Q4" s="41"/>
      <c r="R4" s="95"/>
      <c r="S4" s="41"/>
      <c r="T4" s="95"/>
      <c r="U4" s="41"/>
      <c r="V4" s="95"/>
      <c r="W4" s="41"/>
      <c r="X4" s="41"/>
      <c r="Y4" s="51"/>
      <c r="Z4" s="41"/>
      <c r="AA4" s="41"/>
      <c r="AB4" s="41"/>
      <c r="AC4" s="41"/>
      <c r="AD4" s="41"/>
      <c r="AE4" s="41"/>
      <c r="AF4" s="35"/>
      <c r="AG4" s="41"/>
      <c r="AH4" s="41">
        <v>3015</v>
      </c>
      <c r="AI4" s="41">
        <f t="shared" ref="AI4" si="2">AH4/$AH4</f>
        <v>1</v>
      </c>
      <c r="AJ4" s="41">
        <v>3004</v>
      </c>
      <c r="AK4" s="26">
        <f t="shared" si="1"/>
        <v>0.99635157545605302</v>
      </c>
      <c r="AL4" s="30">
        <v>3003</v>
      </c>
      <c r="AM4" s="30">
        <f t="shared" si="1"/>
        <v>0.99601990049751243</v>
      </c>
    </row>
    <row r="5" spans="1:39" ht="17.25" customHeight="1">
      <c r="A5" s="27">
        <v>3</v>
      </c>
      <c r="B5" s="30" t="s">
        <v>47</v>
      </c>
      <c r="C5" s="104" t="str">
        <f>E5</f>
        <v>{"name":p.FamilyName9,"vorname":p.ManFirstName9,"ahvNumber":"","geburtsdatum":""}</v>
      </c>
      <c r="E5" s="29" t="str">
        <f>F5&amp;G5&amp;H5&amp;I5&amp;J5&amp;K5&amp;L5&amp;M5&amp;N5&amp;O5&amp;P5&amp;Q5&amp;R5&amp;S5&amp;T5&amp;U5&amp;V5&amp;W5&amp;X5</f>
        <v>{"name":p.FamilyName9,"vorname":p.ManFirstName9,"ahvNumber":"","geburtsdatum":""}</v>
      </c>
      <c r="F5" s="95" t="s">
        <v>48</v>
      </c>
      <c r="G5" s="30" t="str">
        <f>G44</f>
        <v>p.FamilyName9</v>
      </c>
      <c r="H5" s="95" t="s">
        <v>49</v>
      </c>
      <c r="I5" s="102" t="str">
        <f>H$43</f>
        <v>p.ManFirstName9</v>
      </c>
      <c r="J5" s="95" t="s">
        <v>50</v>
      </c>
      <c r="L5" s="95" t="s">
        <v>51</v>
      </c>
      <c r="M5" s="103"/>
      <c r="N5" s="95" t="s">
        <v>34</v>
      </c>
      <c r="O5" s="41"/>
      <c r="P5" s="53"/>
      <c r="R5" s="95"/>
      <c r="S5" s="105"/>
      <c r="T5" s="95"/>
      <c r="U5" s="41"/>
      <c r="V5" s="95"/>
      <c r="X5" s="95"/>
      <c r="Y5" s="51" t="s">
        <v>52</v>
      </c>
      <c r="Z5" s="53"/>
      <c r="AB5" s="53"/>
      <c r="AF5" s="35"/>
      <c r="AH5" s="41">
        <v>6616</v>
      </c>
      <c r="AI5" s="41">
        <f t="shared" ref="AI5" si="3">AH5/$AH5</f>
        <v>1</v>
      </c>
      <c r="AJ5" s="41">
        <v>5921</v>
      </c>
      <c r="AK5" s="26">
        <f t="shared" si="1"/>
        <v>0.89495163240628783</v>
      </c>
      <c r="AL5" s="30">
        <v>5092</v>
      </c>
      <c r="AM5" s="30">
        <f t="shared" si="1"/>
        <v>0.76964933494558641</v>
      </c>
    </row>
    <row r="6" spans="1:39" ht="17.25" customHeight="1">
      <c r="A6" s="27">
        <v>4</v>
      </c>
      <c r="B6" s="28" t="s">
        <v>53</v>
      </c>
      <c r="C6" s="29" t="str">
        <f ca="1">E6</f>
        <v>{"name":p.FamilyName9,"vorname":p.ManFirstName9,"ahvNumber":p.AHVNumber33,"language":"Deutsch","zivilstand":"ledig","zivilStandSeit":"28.07.2025","geburtsdatum":"17.8.1962","national":"Frankreich","gender":"männlich","aufenthalt":"","aufGultigVon":"03.10.2025","aufGueltigBis":"13.02.2026"}</v>
      </c>
      <c r="D6" s="41"/>
      <c r="E6" s="29" t="str">
        <f ca="1">F6&amp;G6&amp;H6&amp;I6&amp;J6&amp;K6&amp;L6&amp;M6&amp;N6&amp;O6&amp;P6&amp;Q6&amp;R6&amp;S6&amp;T6&amp;U6&amp;V6&amp;W6&amp;X6&amp;Y6&amp;Z6&amp;AA6&amp;AB6&amp;AC6&amp;AD6&amp;AE6</f>
        <v>{"name":p.FamilyName9,"vorname":p.ManFirstName9,"ahvNumber":p.AHVNumber33,"language":"Deutsch","zivilstand":"ledig","zivilStandSeit":"28.07.2025","geburtsdatum":"17.8.1962","national":"Frankreich","gender":"männlich","aufenthalt":"","aufGultigVon":"03.10.2025","aufGueltigBis":"13.02.2026"}</v>
      </c>
      <c r="F6" s="101" t="s">
        <v>48</v>
      </c>
      <c r="G6" s="41" t="str">
        <f>G5</f>
        <v>p.FamilyName9</v>
      </c>
      <c r="H6" s="95" t="s">
        <v>49</v>
      </c>
      <c r="I6" s="41" t="str">
        <f>H$43</f>
        <v>p.ManFirstName9</v>
      </c>
      <c r="J6" s="95" t="s">
        <v>54</v>
      </c>
      <c r="K6" s="96" t="str">
        <f>I43</f>
        <v>p.AHVNumber33</v>
      </c>
      <c r="L6" s="95" t="s">
        <v>55</v>
      </c>
      <c r="M6" s="41" t="s">
        <v>56</v>
      </c>
      <c r="N6" s="95" t="s">
        <v>57</v>
      </c>
      <c r="O6" s="41" t="s">
        <v>58</v>
      </c>
      <c r="P6" s="41" t="s">
        <v>59</v>
      </c>
      <c r="Q6" s="41" t="str">
        <f ca="1">TEXT(TEXT(TODAY()-100,"DD")&amp;"."&amp;TEXT(TODAY()-100,"MM")&amp;"."&amp;TEXT(TODAY()-100,"YYYY"),"DD.MM.YYYY")</f>
        <v>28.07.2025</v>
      </c>
      <c r="R6" s="95" t="s">
        <v>60</v>
      </c>
      <c r="S6" s="41" t="str">
        <f ca="1">TEXT(RANDBETWEEN(1,28)&amp;"."&amp;RANDBETWEEN(1,12)&amp;"."&amp;TEXT(TODAY()-23115,"YYYY"),"DD.MM.YYYY")</f>
        <v>17.8.1962</v>
      </c>
      <c r="T6" s="95" t="s">
        <v>61</v>
      </c>
      <c r="U6" s="41" t="s">
        <v>62</v>
      </c>
      <c r="V6" s="95" t="s">
        <v>63</v>
      </c>
      <c r="W6" s="41" t="s">
        <v>64</v>
      </c>
      <c r="X6" s="41" t="s">
        <v>65</v>
      </c>
      <c r="Y6" s="41"/>
      <c r="Z6" s="41" t="s">
        <v>66</v>
      </c>
      <c r="AA6" s="41" t="str">
        <f ca="1">TEXT(TEXT(TODAY()-33,"DD")&amp;"."&amp;TEXT(TODAY()-33,"MM")&amp;"."&amp;TEXT(TODAY()-33,"YYYY"),"DD.MM.YYYY")</f>
        <v>03.10.2025</v>
      </c>
      <c r="AB6" s="41" t="s">
        <v>67</v>
      </c>
      <c r="AC6" s="41" t="str">
        <f ca="1">TEXT(TEXT(TODAY()+100,"DD")&amp;"."&amp;TEXT(TODAY()+100,"MM")&amp;"."&amp;TEXT(TODAY()+100,"YYYY"),"DD.MM.YYYY")</f>
        <v>13.02.2026</v>
      </c>
      <c r="AD6" s="41" t="s">
        <v>34</v>
      </c>
      <c r="AE6" s="41"/>
      <c r="AF6" s="35"/>
      <c r="AG6" s="41"/>
      <c r="AH6" s="41">
        <v>1813</v>
      </c>
      <c r="AI6" s="41">
        <f t="shared" ref="AI6" si="4">AH6/$AH6</f>
        <v>1</v>
      </c>
      <c r="AJ6" s="41">
        <v>1859</v>
      </c>
      <c r="AK6" s="26">
        <f t="shared" si="1"/>
        <v>1.0253723110865969</v>
      </c>
      <c r="AL6" s="30">
        <v>1906</v>
      </c>
      <c r="AM6" s="30">
        <f t="shared" si="1"/>
        <v>1.051296194153337</v>
      </c>
    </row>
    <row r="7" spans="1:39" ht="17.25" customHeight="1">
      <c r="A7" s="27">
        <v>5</v>
      </c>
      <c r="B7" s="28" t="s">
        <v>68</v>
      </c>
      <c r="C7" s="29" t="str">
        <f ca="1">E7</f>
        <v>{"mobile":"079 5418568","privateNumber":"079 5490119","email":"5825abc@gmail.com"}</v>
      </c>
      <c r="D7" s="41"/>
      <c r="E7" s="29" t="str">
        <f ca="1">F7&amp;G7&amp;H7&amp;I7&amp;J7&amp;K7&amp;L7&amp;M7&amp;N7&amp;O7&amp;P7&amp;Q7&amp;R7&amp;S7&amp;T7&amp;U7&amp;V7&amp;W7&amp;X7</f>
        <v>{"mobile":"079 5418568","privateNumber":"079 5490119","email":"5825abc@gmail.com"}</v>
      </c>
      <c r="F7" s="95" t="s">
        <v>69</v>
      </c>
      <c r="G7" s="41" t="str">
        <f ca="1">"079 "&amp;RANDBETWEEN(5234500,5699999)</f>
        <v>079 5418568</v>
      </c>
      <c r="H7" s="95" t="s">
        <v>70</v>
      </c>
      <c r="I7" s="41" t="str">
        <f ca="1">"079 "&amp;RANDBETWEEN(5234500,5699999)</f>
        <v>079 5490119</v>
      </c>
      <c r="J7" s="95" t="s">
        <v>71</v>
      </c>
      <c r="K7" s="41" t="str">
        <f ca="1">RANDBETWEEN(1111,9999)&amp;"abc@gmail.com"</f>
        <v>5825abc@gmail.com</v>
      </c>
      <c r="L7" s="95" t="s">
        <v>34</v>
      </c>
      <c r="M7" s="41"/>
      <c r="N7" s="95"/>
      <c r="O7" s="105"/>
      <c r="P7" s="95"/>
      <c r="Q7" s="41"/>
      <c r="R7" s="95"/>
      <c r="S7" s="41"/>
      <c r="T7" s="95"/>
      <c r="U7" s="41"/>
      <c r="V7" s="95"/>
      <c r="W7" s="41"/>
      <c r="X7" s="41"/>
      <c r="Y7" s="41"/>
      <c r="Z7" s="41"/>
      <c r="AA7" s="41"/>
      <c r="AB7" s="41"/>
      <c r="AC7" s="41"/>
      <c r="AD7" s="41"/>
      <c r="AE7" s="41"/>
      <c r="AF7" s="35"/>
      <c r="AG7" s="41"/>
      <c r="AH7" s="41">
        <v>3098</v>
      </c>
      <c r="AI7" s="41">
        <f t="shared" ref="AI7" si="5">AH7/$AH7</f>
        <v>1</v>
      </c>
      <c r="AJ7" s="41">
        <v>3057</v>
      </c>
      <c r="AK7" s="26">
        <f t="shared" si="1"/>
        <v>0.98676565526145898</v>
      </c>
      <c r="AL7" s="30">
        <v>2838</v>
      </c>
      <c r="AM7" s="30">
        <f t="shared" si="1"/>
        <v>0.9160748870238864</v>
      </c>
    </row>
    <row r="8" spans="1:39" ht="17.25" customHeight="1">
      <c r="A8" s="27">
        <v>6</v>
      </c>
      <c r="B8" s="28" t="s">
        <v>72</v>
      </c>
      <c r="C8" s="29" t="str">
        <f ca="1">E8</f>
        <v>{"zusatz":"","strasse":"Strasse_723","houseNumber":"9","ort":"3053 Münchenbuchsee","validDate":"10.12.2021"}</v>
      </c>
      <c r="D8" s="41"/>
      <c r="E8" s="29" t="str">
        <f ca="1">F8&amp;G8&amp;H8&amp;I8&amp;J8&amp;K8&amp;L8&amp;M8&amp;N8&amp;O8&amp;P8&amp;Q8&amp;R8&amp;S8&amp;T8&amp;U8&amp;V8&amp;W8&amp;X8</f>
        <v>{"zusatz":"","strasse":"Strasse_723","houseNumber":"9","ort":"3053 Münchenbuchsee","validDate":"10.12.2021"}</v>
      </c>
      <c r="F8" s="95" t="s">
        <v>73</v>
      </c>
      <c r="G8" s="41"/>
      <c r="H8" s="95" t="s">
        <v>74</v>
      </c>
      <c r="I8" s="41" t="str">
        <f ca="1">"Strasse_"&amp;RANDBETWEEN(1,1000)</f>
        <v>Strasse_723</v>
      </c>
      <c r="J8" s="95" t="s">
        <v>75</v>
      </c>
      <c r="K8" s="41">
        <f ca="1">RANDBETWEEN(1,100)</f>
        <v>9</v>
      </c>
      <c r="L8" s="95" t="s">
        <v>76</v>
      </c>
      <c r="M8" s="41" t="s">
        <v>77</v>
      </c>
      <c r="N8" s="95" t="s">
        <v>78</v>
      </c>
      <c r="O8" s="41" t="str">
        <f ca="1">TEXT(RANDBETWEEN(1,28)&amp;"."&amp;RANDBETWEEN(1,12)&amp;"."&amp;TEXT(TODAY()-4*365,"YYYY"),"DD.MM.YYYY")</f>
        <v>10.12.2021</v>
      </c>
      <c r="P8" s="95" t="s">
        <v>34</v>
      </c>
      <c r="Q8" s="41"/>
      <c r="R8" s="95"/>
      <c r="S8" s="41"/>
      <c r="T8" s="95"/>
      <c r="U8" s="41"/>
      <c r="V8" s="95"/>
      <c r="W8" s="41"/>
      <c r="X8" s="41"/>
      <c r="Y8" s="41"/>
      <c r="Z8" s="41"/>
      <c r="AA8" s="41"/>
      <c r="AB8" s="41"/>
      <c r="AC8" s="41"/>
      <c r="AD8" s="41"/>
      <c r="AE8" s="41"/>
      <c r="AF8" s="35"/>
      <c r="AG8" s="41"/>
      <c r="AH8" s="41">
        <v>303</v>
      </c>
      <c r="AI8" s="41">
        <f t="shared" ref="AI8" si="6">AH8/$AH8</f>
        <v>1</v>
      </c>
      <c r="AJ8" s="41">
        <v>257</v>
      </c>
      <c r="AK8" s="26">
        <f t="shared" si="1"/>
        <v>0.84818481848184824</v>
      </c>
      <c r="AL8" s="30">
        <v>273</v>
      </c>
      <c r="AM8" s="30">
        <f t="shared" si="1"/>
        <v>0.90099009900990101</v>
      </c>
    </row>
    <row r="9" spans="1:39" ht="17.25" customHeight="1">
      <c r="A9" s="27">
        <v>7</v>
      </c>
      <c r="B9" s="28" t="s">
        <v>79</v>
      </c>
      <c r="C9" s="29" t="s">
        <v>80</v>
      </c>
      <c r="D9" s="41"/>
      <c r="F9" s="95"/>
      <c r="G9" s="41"/>
      <c r="H9" s="95"/>
      <c r="I9" s="41"/>
      <c r="J9" s="95"/>
      <c r="K9" s="41"/>
      <c r="L9" s="95"/>
      <c r="M9" s="41"/>
      <c r="N9" s="95"/>
      <c r="O9" s="41"/>
      <c r="P9" s="95"/>
      <c r="Q9" s="41"/>
      <c r="R9" s="95"/>
      <c r="S9" s="41"/>
      <c r="T9" s="95"/>
      <c r="U9" s="41"/>
      <c r="V9" s="95"/>
      <c r="W9" s="41"/>
      <c r="X9" s="41"/>
      <c r="Y9" s="41"/>
      <c r="Z9" s="41"/>
      <c r="AA9" s="41"/>
      <c r="AB9" s="41"/>
      <c r="AC9" s="41"/>
      <c r="AD9" s="41"/>
      <c r="AE9" s="41"/>
      <c r="AF9" s="35"/>
      <c r="AG9" s="41"/>
      <c r="AH9" s="41">
        <v>4759</v>
      </c>
      <c r="AI9" s="41">
        <f t="shared" ref="AI9" si="7">AH9/$AH9</f>
        <v>1</v>
      </c>
      <c r="AJ9" s="41">
        <v>4774</v>
      </c>
      <c r="AK9" s="26">
        <f t="shared" si="1"/>
        <v>1.0031519226728305</v>
      </c>
      <c r="AL9" s="30">
        <v>4714</v>
      </c>
      <c r="AM9" s="30">
        <f t="shared" si="1"/>
        <v>0.99054423198150876</v>
      </c>
    </row>
    <row r="10" spans="1:39" ht="17.25" customHeight="1">
      <c r="A10" s="27">
        <v>8</v>
      </c>
      <c r="B10" s="28" t="s">
        <v>81</v>
      </c>
      <c r="D10" s="41"/>
      <c r="E10" s="41"/>
      <c r="F10" s="95"/>
      <c r="G10" s="41"/>
      <c r="H10" s="95"/>
      <c r="I10" s="41"/>
      <c r="J10" s="95"/>
      <c r="K10" s="41"/>
      <c r="L10" s="95"/>
      <c r="M10" s="41"/>
      <c r="N10" s="95"/>
      <c r="O10" s="41"/>
      <c r="P10" s="95"/>
      <c r="Q10" s="41"/>
      <c r="R10" s="95"/>
      <c r="S10" s="41"/>
      <c r="T10" s="95"/>
      <c r="U10" s="41"/>
      <c r="V10" s="95"/>
      <c r="W10" s="41"/>
      <c r="X10" s="41"/>
      <c r="Y10" s="41"/>
      <c r="Z10" s="41"/>
      <c r="AA10" s="41"/>
      <c r="AB10" s="41"/>
      <c r="AC10" s="41"/>
      <c r="AD10" s="41"/>
      <c r="AE10" s="41"/>
      <c r="AF10" s="35"/>
      <c r="AG10" s="41"/>
      <c r="AH10" s="41">
        <v>100</v>
      </c>
      <c r="AI10" s="41">
        <f t="shared" ref="AI10" si="8">AH10/$AH10</f>
        <v>1</v>
      </c>
      <c r="AJ10" s="41">
        <v>75</v>
      </c>
      <c r="AK10" s="26">
        <f t="shared" si="1"/>
        <v>0.75</v>
      </c>
      <c r="AL10" s="30">
        <v>84</v>
      </c>
      <c r="AM10" s="30">
        <f t="shared" si="1"/>
        <v>0.84</v>
      </c>
    </row>
    <row r="11" spans="1:39" ht="17.25" customHeight="1">
      <c r="A11" s="27">
        <v>9</v>
      </c>
      <c r="B11" s="28" t="s">
        <v>82</v>
      </c>
      <c r="C11" s="29" t="str">
        <f t="shared" ref="C11:C24" si="9">E11</f>
        <v>{"zust_Gemeinde":"Münchenbuchsee","zust_SozTeam":"Sozialarbeit Bern 1","zust_SozMitarbeiter":"Bern Sozialarbeiterin 1A","zust_SachbTeam":"Sachbearbeitung Bern","zust_SachbMitarbeiter":"Bern Sachbearbeiterin"}</v>
      </c>
      <c r="D11" s="41"/>
      <c r="E11" s="29" t="str">
        <f t="shared" ref="E11:E24" si="10">F11&amp;G11&amp;H11&amp;I11&amp;J11&amp;K11&amp;L11&amp;M11&amp;N11&amp;O11&amp;P11&amp;Q11&amp;R11&amp;S11&amp;T11&amp;U11&amp;V11&amp;W11&amp;X11</f>
        <v>{"zust_Gemeinde":"Münchenbuchsee","zust_SozTeam":"Sozialarbeit Bern 1","zust_SozMitarbeiter":"Bern Sozialarbeiterin 1A","zust_SachbTeam":"Sachbearbeitung Bern","zust_SachbMitarbeiter":"Bern Sachbearbeiterin"}</v>
      </c>
      <c r="F11" s="95" t="s">
        <v>83</v>
      </c>
      <c r="G11" s="106" t="s">
        <v>84</v>
      </c>
      <c r="H11" s="95" t="s">
        <v>85</v>
      </c>
      <c r="I11" s="105" t="s">
        <v>46</v>
      </c>
      <c r="J11" s="95" t="s">
        <v>86</v>
      </c>
      <c r="K11" s="41" t="s">
        <v>87</v>
      </c>
      <c r="L11" s="95" t="s">
        <v>88</v>
      </c>
      <c r="M11" s="41" t="s">
        <v>89</v>
      </c>
      <c r="N11" s="95" t="s">
        <v>90</v>
      </c>
      <c r="O11" s="41" t="s">
        <v>91</v>
      </c>
      <c r="P11" s="95" t="s">
        <v>34</v>
      </c>
      <c r="Q11" s="41"/>
      <c r="R11" s="95"/>
      <c r="S11" s="41"/>
      <c r="T11" s="95"/>
      <c r="U11" s="41"/>
      <c r="V11" s="95"/>
      <c r="W11" s="41"/>
      <c r="X11" s="41"/>
      <c r="Y11" s="41"/>
      <c r="Z11" s="41"/>
      <c r="AA11" s="41"/>
      <c r="AB11" s="41"/>
      <c r="AC11" s="41"/>
      <c r="AD11" s="41"/>
      <c r="AE11" s="41"/>
      <c r="AF11" s="35"/>
      <c r="AG11" s="41"/>
      <c r="AH11" s="41">
        <v>1184</v>
      </c>
      <c r="AI11" s="41">
        <f t="shared" ref="AI11" si="11">AH11/$AH11</f>
        <v>1</v>
      </c>
      <c r="AJ11" s="41">
        <v>1181</v>
      </c>
      <c r="AK11" s="26">
        <f t="shared" si="1"/>
        <v>0.99746621621621623</v>
      </c>
      <c r="AL11" s="30">
        <v>1185</v>
      </c>
      <c r="AM11" s="30">
        <f t="shared" si="1"/>
        <v>1.0008445945945945</v>
      </c>
    </row>
    <row r="12" spans="1:39" ht="17.25" customHeight="1">
      <c r="A12" s="27">
        <v>10</v>
      </c>
      <c r="B12" s="28" t="s">
        <v>92</v>
      </c>
      <c r="C12" s="29" t="str">
        <f t="shared" ca="1" si="9"/>
        <v>{"dossierBezeichnung":p.DossierName9,"eroeffnetAm":"05.11.2025","dossierSprache":"Deutsch"}</v>
      </c>
      <c r="E12" s="29" t="str">
        <f t="shared" ca="1" si="10"/>
        <v>{"dossierBezeichnung":p.DossierName9,"eroeffnetAm":"05.11.2025","dossierSprache":"Deutsch"}</v>
      </c>
      <c r="F12" s="31" t="s">
        <v>93</v>
      </c>
      <c r="G12" s="94" t="str">
        <f>G43</f>
        <v>p.DossierName9</v>
      </c>
      <c r="H12" s="31" t="s">
        <v>94</v>
      </c>
      <c r="I12" s="30" t="str">
        <f ca="1">TEXT(TEXT(TODAY(),"DD")&amp;"."&amp;TEXT(TODAY(),"MM")&amp;"."&amp;TEXT(TODAY(),"YYYY"),"DD.MM.YYYY")</f>
        <v>05.11.2025</v>
      </c>
      <c r="J12" s="31" t="s">
        <v>95</v>
      </c>
      <c r="K12" s="105" t="s">
        <v>56</v>
      </c>
      <c r="L12" s="31" t="s">
        <v>34</v>
      </c>
      <c r="M12" s="31"/>
      <c r="AF12" s="35"/>
      <c r="AH12" s="41">
        <v>4094</v>
      </c>
      <c r="AI12" s="41">
        <f t="shared" ref="AI12" si="12">AH12/$AH12</f>
        <v>1</v>
      </c>
      <c r="AJ12" s="41">
        <v>4225</v>
      </c>
      <c r="AK12" s="26">
        <f t="shared" si="1"/>
        <v>1.0319980459208598</v>
      </c>
      <c r="AL12" s="30">
        <v>3937</v>
      </c>
      <c r="AM12" s="30">
        <f t="shared" si="1"/>
        <v>0.96165119687347334</v>
      </c>
    </row>
    <row r="13" spans="1:39" ht="17.25" customHeight="1">
      <c r="A13" s="27">
        <v>11</v>
      </c>
      <c r="B13" s="28" t="s">
        <v>96</v>
      </c>
      <c r="C13" s="29" t="str">
        <f>E13</f>
        <v>{"dossierInstitution":p.DossierName9,"klientschaft":`${p.FamilyName9}, ${p.ManFirstName9}`,"buttonBewilligung":"Anfragen","checkStatus":"In Bearbeitung"}</v>
      </c>
      <c r="D13" s="41"/>
      <c r="E13" s="29" t="str">
        <f>F13&amp;G13&amp;H13&amp;I13&amp;J13&amp;K13&amp;L13&amp;M13&amp;N13&amp;O13&amp;P13&amp;Q13&amp;R13&amp;S13&amp;T13&amp;U13&amp;V13&amp;W13&amp;X13</f>
        <v>{"dossierInstitution":p.DossierName9,"klientschaft":`${p.FamilyName9}, ${p.ManFirstName9}`,"buttonBewilligung":"Anfragen","checkStatus":"In Bearbeitung"}</v>
      </c>
      <c r="F13" s="95" t="s">
        <v>97</v>
      </c>
      <c r="G13" s="96" t="str">
        <f>G12</f>
        <v>p.DossierName9</v>
      </c>
      <c r="H13" s="95" t="s">
        <v>98</v>
      </c>
      <c r="I13" s="107" t="str">
        <f>I23</f>
        <v>${p.FamilyName9}, ${p.ManFirstName9}</v>
      </c>
      <c r="J13" s="95" t="s">
        <v>99</v>
      </c>
      <c r="K13" s="105" t="s">
        <v>100</v>
      </c>
      <c r="L13" s="95" t="s">
        <v>101</v>
      </c>
      <c r="M13" s="41" t="s">
        <v>102</v>
      </c>
      <c r="N13" s="95" t="s">
        <v>34</v>
      </c>
      <c r="O13" s="41"/>
      <c r="P13" s="95"/>
      <c r="Q13" s="41"/>
      <c r="R13" s="95"/>
      <c r="S13" s="41"/>
      <c r="T13" s="95"/>
      <c r="U13" s="41"/>
      <c r="V13" s="95"/>
      <c r="W13" s="41"/>
      <c r="X13" s="41"/>
      <c r="Y13" s="41"/>
      <c r="Z13" s="41"/>
      <c r="AA13" s="41"/>
      <c r="AB13" s="41"/>
      <c r="AC13" s="41"/>
      <c r="AD13" s="41"/>
      <c r="AE13" s="41"/>
      <c r="AF13" s="35"/>
      <c r="AG13" s="41"/>
      <c r="AH13" s="41">
        <v>1574</v>
      </c>
      <c r="AI13" s="41">
        <f t="shared" ref="AI13" si="13">AH13/$AH13</f>
        <v>1</v>
      </c>
      <c r="AJ13" s="41">
        <v>1562</v>
      </c>
      <c r="AK13" s="26">
        <f t="shared" si="1"/>
        <v>0.99237611181702667</v>
      </c>
      <c r="AL13" s="30">
        <v>1572</v>
      </c>
      <c r="AM13" s="30">
        <f t="shared" si="1"/>
        <v>0.99872935196950441</v>
      </c>
    </row>
    <row r="14" spans="1:39" ht="17.25" customHeight="1">
      <c r="A14" s="27">
        <v>12</v>
      </c>
      <c r="B14" s="28" t="s">
        <v>103</v>
      </c>
      <c r="C14" s="29" t="str">
        <f>E14</f>
        <v>{"username":"Bern.Sachbearbeiterin@diartis.ch","password":"XXxa22?pdTA66-S@"}</v>
      </c>
      <c r="E14" s="29" t="str">
        <f>F14&amp;G14&amp;H14&amp;I14&amp;J14&amp;K14&amp;L14&amp;M14&amp;N14&amp;O14&amp;P14&amp;Q14&amp;R14&amp;S14&amp;T14&amp;U14&amp;V14&amp;W14&amp;X14</f>
        <v>{"username":"Bern.Sachbearbeiterin@diartis.ch","password":"XXxa22?pdTA66-S@"}</v>
      </c>
      <c r="F14" s="31" t="s">
        <v>27</v>
      </c>
      <c r="G14" s="94" t="s">
        <v>28</v>
      </c>
      <c r="H14" s="31" t="s">
        <v>29</v>
      </c>
      <c r="I14" s="30" t="s">
        <v>30</v>
      </c>
      <c r="J14" s="31" t="s">
        <v>34</v>
      </c>
      <c r="K14" s="105"/>
      <c r="M14" s="31"/>
      <c r="AF14" s="35"/>
      <c r="AH14" s="41">
        <v>10052</v>
      </c>
      <c r="AI14" s="41">
        <f t="shared" ref="AI14" si="14">AH14/$AH14</f>
        <v>1</v>
      </c>
      <c r="AJ14" s="41">
        <v>10401</v>
      </c>
      <c r="AK14" s="26">
        <f t="shared" si="1"/>
        <v>1.0347194588141664</v>
      </c>
      <c r="AL14" s="30">
        <v>10897</v>
      </c>
      <c r="AM14" s="30">
        <f t="shared" si="1"/>
        <v>1.0840628730600876</v>
      </c>
    </row>
    <row r="15" spans="1:39" ht="17.25" customHeight="1">
      <c r="A15" s="27">
        <v>13</v>
      </c>
      <c r="B15" s="28" t="s">
        <v>96</v>
      </c>
      <c r="C15" s="108" t="str">
        <f>E15</f>
        <v>{"dossierInstitution":p.DossierName9,"klientschaft":`${p.FamilyName9}, ${p.ManFirstName9}`,"buttonBewilligung":"Bewilligen","checkStatus":"Bewilligt"}</v>
      </c>
      <c r="E15" s="29" t="str">
        <f>F15&amp;G15&amp;H15&amp;I15&amp;J15&amp;K15&amp;L15&amp;M15&amp;N15&amp;O15&amp;P15&amp;Q15&amp;R15&amp;S15&amp;T15&amp;U15&amp;V15&amp;W15&amp;X15</f>
        <v>{"dossierInstitution":p.DossierName9,"klientschaft":`${p.FamilyName9}, ${p.ManFirstName9}`,"buttonBewilligung":"Bewilligen","checkStatus":"Bewilligt"}</v>
      </c>
      <c r="F15" s="95" t="s">
        <v>97</v>
      </c>
      <c r="G15" s="30" t="str">
        <f>G13</f>
        <v>p.DossierName9</v>
      </c>
      <c r="H15" s="95" t="s">
        <v>98</v>
      </c>
      <c r="I15" s="30" t="str">
        <f>I23</f>
        <v>${p.FamilyName9}, ${p.ManFirstName9}</v>
      </c>
      <c r="J15" s="95" t="s">
        <v>99</v>
      </c>
      <c r="K15" s="30" t="s">
        <v>105</v>
      </c>
      <c r="L15" s="95" t="s">
        <v>101</v>
      </c>
      <c r="M15" s="30" t="s">
        <v>106</v>
      </c>
      <c r="N15" s="95" t="s">
        <v>34</v>
      </c>
      <c r="P15" s="95"/>
      <c r="R15" s="95"/>
      <c r="T15" s="95"/>
      <c r="V15" s="95"/>
      <c r="AF15" s="35"/>
      <c r="AH15" s="41">
        <v>9669</v>
      </c>
      <c r="AI15" s="41">
        <f t="shared" ref="AI15" si="15">AH15/$AH15</f>
        <v>1</v>
      </c>
      <c r="AJ15" s="41">
        <v>9904</v>
      </c>
      <c r="AK15" s="26">
        <f t="shared" si="1"/>
        <v>1.0243044782293929</v>
      </c>
      <c r="AL15" s="30">
        <v>9777</v>
      </c>
      <c r="AM15" s="30">
        <f t="shared" si="1"/>
        <v>1.0111697176543593</v>
      </c>
    </row>
    <row r="16" spans="1:39" ht="17.25" customHeight="1">
      <c r="A16" s="27">
        <v>14</v>
      </c>
      <c r="B16" s="109" t="s">
        <v>103</v>
      </c>
      <c r="C16" s="108" t="s">
        <v>107</v>
      </c>
      <c r="E16" s="29">
        <v>2</v>
      </c>
      <c r="F16" s="31" t="s">
        <v>27</v>
      </c>
      <c r="G16" s="94" t="s">
        <v>28</v>
      </c>
      <c r="H16" s="31" t="s">
        <v>29</v>
      </c>
      <c r="I16" s="30" t="s">
        <v>30</v>
      </c>
      <c r="J16" s="31" t="s">
        <v>34</v>
      </c>
      <c r="AF16" s="35"/>
      <c r="AH16" s="41">
        <v>9873</v>
      </c>
      <c r="AI16" s="41">
        <f t="shared" ref="AI16" si="16">AH16/$AH16</f>
        <v>1</v>
      </c>
      <c r="AJ16" s="41">
        <v>9983</v>
      </c>
      <c r="AK16" s="26">
        <f t="shared" si="1"/>
        <v>1.0111414970120531</v>
      </c>
      <c r="AL16" s="30">
        <v>9832</v>
      </c>
      <c r="AM16" s="30">
        <f t="shared" si="1"/>
        <v>0.99584726020459835</v>
      </c>
    </row>
    <row r="17" spans="1:39" ht="17.25" customHeight="1">
      <c r="A17" s="27">
        <v>16</v>
      </c>
      <c r="B17" s="28" t="s">
        <v>108</v>
      </c>
      <c r="C17" s="29" t="str">
        <f>E17</f>
        <v>{"searchDossierOrKlient":p.DossierName9,"resultType":"Dossiers"}</v>
      </c>
      <c r="D17" s="41"/>
      <c r="E17" s="29" t="str">
        <f>F17&amp;G17&amp;H17&amp;I17&amp;J17&amp;K17&amp;L17&amp;M17&amp;N17&amp;O17&amp;P17&amp;Q17&amp;R17&amp;S17&amp;T17&amp;U17&amp;V17&amp;W17&amp;X17</f>
        <v>{"searchDossierOrKlient":p.DossierName9,"resultType":"Dossiers"}</v>
      </c>
      <c r="F17" s="95" t="s">
        <v>109</v>
      </c>
      <c r="G17" s="30" t="str">
        <f>G15</f>
        <v>p.DossierName9</v>
      </c>
      <c r="H17" s="95" t="s">
        <v>110</v>
      </c>
      <c r="I17" s="30" t="s">
        <v>111</v>
      </c>
      <c r="J17" s="95" t="s">
        <v>34</v>
      </c>
      <c r="K17" s="105"/>
      <c r="L17" s="95"/>
      <c r="N17" s="95"/>
      <c r="O17" s="105"/>
      <c r="P17" s="95"/>
      <c r="Q17" s="41"/>
      <c r="R17" s="95"/>
      <c r="S17" s="41"/>
      <c r="T17" s="95"/>
      <c r="U17" s="41"/>
      <c r="V17" s="95"/>
      <c r="W17" s="41"/>
      <c r="X17" s="41"/>
      <c r="Y17" s="41"/>
      <c r="Z17" s="41"/>
      <c r="AA17" s="41"/>
      <c r="AB17" s="41"/>
      <c r="AC17" s="41"/>
      <c r="AD17" s="41"/>
      <c r="AE17" s="41"/>
      <c r="AF17" s="35"/>
      <c r="AG17" s="41"/>
      <c r="AH17" s="41">
        <v>9739</v>
      </c>
      <c r="AI17" s="41">
        <f t="shared" ref="AI17" si="17">AH17/$AH17</f>
        <v>1</v>
      </c>
      <c r="AJ17" s="41">
        <v>9573</v>
      </c>
      <c r="AK17" s="26">
        <f t="shared" si="1"/>
        <v>0.98295512886333303</v>
      </c>
      <c r="AL17" s="30">
        <v>9727</v>
      </c>
      <c r="AM17" s="30">
        <f t="shared" si="1"/>
        <v>0.99876784064072288</v>
      </c>
    </row>
    <row r="18" spans="1:39" ht="17.25" customHeight="1">
      <c r="A18" s="27">
        <v>18</v>
      </c>
      <c r="B18" s="28" t="s">
        <v>113</v>
      </c>
      <c r="C18" s="29" t="str">
        <f t="shared" si="9"/>
        <v>{"vermieter":"Graber Immobilien","wohnungsgrosse":"4 Zimmer","mietkosten":1200,"nebenkosten":100}</v>
      </c>
      <c r="D18" s="41"/>
      <c r="E18" s="29" t="str">
        <f t="shared" si="10"/>
        <v>{"vermieter":"Graber Immobilien","wohnungsgrosse":"4 Zimmer","mietkosten":1200,"nebenkosten":100}</v>
      </c>
      <c r="F18" s="95" t="s">
        <v>114</v>
      </c>
      <c r="G18" s="30" t="s">
        <v>115</v>
      </c>
      <c r="H18" s="95" t="s">
        <v>116</v>
      </c>
      <c r="I18" s="30" t="s">
        <v>117</v>
      </c>
      <c r="J18" s="95" t="s">
        <v>118</v>
      </c>
      <c r="K18" s="105">
        <v>1200</v>
      </c>
      <c r="L18" s="95" t="s">
        <v>119</v>
      </c>
      <c r="M18" s="30">
        <v>100</v>
      </c>
      <c r="N18" s="95" t="s">
        <v>120</v>
      </c>
      <c r="O18" s="105"/>
      <c r="P18" s="95"/>
      <c r="Q18" s="41"/>
      <c r="R18" s="95"/>
      <c r="S18" s="41"/>
      <c r="T18" s="95"/>
      <c r="U18" s="41"/>
      <c r="V18" s="95"/>
      <c r="W18" s="41"/>
      <c r="X18" s="41"/>
      <c r="Y18" s="41"/>
      <c r="Z18" s="41"/>
      <c r="AA18" s="41"/>
      <c r="AB18" s="41"/>
      <c r="AC18" s="41"/>
      <c r="AD18" s="41"/>
      <c r="AE18" s="41"/>
      <c r="AF18" s="35"/>
      <c r="AG18" s="41"/>
      <c r="AH18" s="41">
        <v>6977</v>
      </c>
      <c r="AI18" s="41">
        <f t="shared" ref="AI18" si="18">AH18/$AH18</f>
        <v>1</v>
      </c>
      <c r="AJ18" s="41">
        <v>6131</v>
      </c>
      <c r="AK18" s="26">
        <f t="shared" si="1"/>
        <v>0.87874444603697865</v>
      </c>
      <c r="AL18" s="30">
        <v>5740</v>
      </c>
      <c r="AM18" s="30">
        <f t="shared" si="1"/>
        <v>0.8227031675505232</v>
      </c>
    </row>
    <row r="19" spans="1:39" ht="17.25" customHeight="1">
      <c r="A19" s="27">
        <v>19</v>
      </c>
      <c r="B19" s="169" t="s">
        <v>121</v>
      </c>
      <c r="C19" s="29" t="str">
        <f t="shared" ca="1" si="9"/>
        <v>{"name":p.FamilyName9,"vorname":p.ManFirstName10,"geburtsdatum":p.BirthdayKid10,"ahvNumber":p.AHVNumber36,"personInhausltVon":"10.12.2021","inHauslt":"Übernehmen","ereignis":"Eheschliessung"}</v>
      </c>
      <c r="D19" s="41"/>
      <c r="E19" s="29" t="str">
        <f t="shared" ca="1" si="10"/>
        <v>{"name":p.FamilyName9,"vorname":p.ManFirstName10,"geburtsdatum":p.BirthdayKid10,"ahvNumber":p.AHVNumber36,"personInhausltVon":"10.12.2021","inHauslt":"Übernehmen","ereignis":"Eheschliessung"}</v>
      </c>
      <c r="F19" s="114" t="s">
        <v>48</v>
      </c>
      <c r="G19" s="94" t="str">
        <f>G6</f>
        <v>p.FamilyName9</v>
      </c>
      <c r="H19" s="95" t="s">
        <v>49</v>
      </c>
      <c r="I19" s="102" t="str">
        <f>H46</f>
        <v>p.ManFirstName10</v>
      </c>
      <c r="J19" s="95" t="s">
        <v>122</v>
      </c>
      <c r="K19" s="41" t="str">
        <f>J46</f>
        <v>p.BirthdayKid10</v>
      </c>
      <c r="L19" s="95" t="s">
        <v>54</v>
      </c>
      <c r="M19" s="41" t="str">
        <f>I46</f>
        <v>p.AHVNumber36</v>
      </c>
      <c r="N19" s="95" t="s">
        <v>123</v>
      </c>
      <c r="O19" s="41" t="str">
        <f ca="1">O8</f>
        <v>10.12.2021</v>
      </c>
      <c r="P19" s="95" t="s">
        <v>124</v>
      </c>
      <c r="Q19" s="41" t="s">
        <v>125</v>
      </c>
      <c r="R19" s="95" t="s">
        <v>126</v>
      </c>
      <c r="S19" s="41" t="s">
        <v>127</v>
      </c>
      <c r="T19" s="95" t="s">
        <v>34</v>
      </c>
      <c r="U19" s="41"/>
      <c r="V19" s="95"/>
      <c r="W19" s="41"/>
      <c r="X19" s="41"/>
      <c r="Y19" s="41"/>
      <c r="Z19" s="41"/>
      <c r="AA19" s="41"/>
      <c r="AB19" s="41"/>
      <c r="AC19" s="41"/>
      <c r="AD19" s="41"/>
      <c r="AE19" s="41"/>
      <c r="AF19" s="35"/>
      <c r="AG19" s="41"/>
      <c r="AH19" s="41">
        <v>3575</v>
      </c>
      <c r="AI19" s="41">
        <f t="shared" ref="AI19" si="19">AH19/$AH19</f>
        <v>1</v>
      </c>
      <c r="AJ19" s="41">
        <v>3392</v>
      </c>
      <c r="AK19" s="26">
        <f t="shared" si="1"/>
        <v>0.94881118881118887</v>
      </c>
      <c r="AL19" s="30">
        <v>3173</v>
      </c>
      <c r="AM19" s="30">
        <f t="shared" si="1"/>
        <v>0.88755244755244755</v>
      </c>
    </row>
    <row r="20" spans="1:39" ht="17.25" customHeight="1">
      <c r="A20" s="27">
        <v>20</v>
      </c>
      <c r="B20" s="169" t="s">
        <v>121</v>
      </c>
      <c r="C20" s="29" t="str">
        <f t="shared" ca="1" si="9"/>
        <v>{"name":p.FamilyName9,"vorname":p.WomanFirstName9,"geburtsdatum":p.BirthdayAdult10,"ahvNumber":p.AHVNumber34,"personInhausltVon":"10.12.2021","inHauslt":"Übernehmen","ereignis":"Geburt"}</v>
      </c>
      <c r="D20" s="41"/>
      <c r="E20" s="29" t="str">
        <f t="shared" ca="1" si="10"/>
        <v>{"name":p.FamilyName9,"vorname":p.WomanFirstName9,"geburtsdatum":p.BirthdayAdult10,"ahvNumber":p.AHVNumber34,"personInhausltVon":"10.12.2021","inHauslt":"Übernehmen","ereignis":"Geburt"}</v>
      </c>
      <c r="F20" s="108" t="s">
        <v>48</v>
      </c>
      <c r="G20" s="41" t="str">
        <f>G19</f>
        <v>p.FamilyName9</v>
      </c>
      <c r="H20" s="95" t="s">
        <v>49</v>
      </c>
      <c r="I20" s="41" t="str">
        <f>H44</f>
        <v>p.WomanFirstName9</v>
      </c>
      <c r="J20" s="95" t="s">
        <v>122</v>
      </c>
      <c r="K20" s="41" t="str">
        <f>J44</f>
        <v>p.BirthdayAdult10</v>
      </c>
      <c r="L20" s="95" t="s">
        <v>54</v>
      </c>
      <c r="M20" s="41" t="str">
        <f>I44</f>
        <v>p.AHVNumber34</v>
      </c>
      <c r="N20" s="95" t="s">
        <v>123</v>
      </c>
      <c r="O20" s="41" t="str">
        <f ca="1">O19</f>
        <v>10.12.2021</v>
      </c>
      <c r="P20" s="41" t="s">
        <v>124</v>
      </c>
      <c r="Q20" s="105" t="s">
        <v>125</v>
      </c>
      <c r="R20" s="95" t="s">
        <v>126</v>
      </c>
      <c r="S20" s="41" t="s">
        <v>128</v>
      </c>
      <c r="T20" s="95" t="s">
        <v>34</v>
      </c>
      <c r="U20" s="41"/>
      <c r="V20" s="95"/>
      <c r="W20" s="41"/>
      <c r="X20" s="41"/>
      <c r="Y20" s="41"/>
      <c r="Z20" s="41"/>
      <c r="AA20" s="41"/>
      <c r="AB20" s="41"/>
      <c r="AC20" s="41"/>
      <c r="AD20" s="41"/>
      <c r="AE20" s="41"/>
      <c r="AF20" s="35"/>
      <c r="AG20" s="41"/>
      <c r="AH20" s="30">
        <v>2201</v>
      </c>
      <c r="AI20" s="30">
        <f t="shared" ref="AI20" si="20">AH20/$AH20</f>
        <v>1</v>
      </c>
      <c r="AJ20" s="30">
        <v>2345</v>
      </c>
      <c r="AK20" s="26">
        <f t="shared" si="1"/>
        <v>1.0654248069059518</v>
      </c>
      <c r="AL20" s="30">
        <v>2385</v>
      </c>
      <c r="AM20" s="30">
        <f t="shared" si="1"/>
        <v>1.0835983643798273</v>
      </c>
    </row>
    <row r="21" spans="1:39" ht="17.25" customHeight="1">
      <c r="A21" s="27">
        <v>21</v>
      </c>
      <c r="B21" s="169" t="s">
        <v>121</v>
      </c>
      <c r="C21" s="29" t="str">
        <f t="shared" ca="1" si="9"/>
        <v>{"name":p.FamilyName9,"vorname":p.GirlFirstName9,"geburtsdatum":p.BirthdayKid9,"ahvNumber":p.AHVNumber35,"personInhausltVon":"10.12.2021","inHauslt":"Übernehmen","ereignis":"Geburt"}</v>
      </c>
      <c r="E21" s="29" t="str">
        <f t="shared" ca="1" si="10"/>
        <v>{"name":p.FamilyName9,"vorname":p.GirlFirstName9,"geburtsdatum":p.BirthdayKid9,"ahvNumber":p.AHVNumber35,"personInhausltVon":"10.12.2021","inHauslt":"Übernehmen","ereignis":"Geburt"}</v>
      </c>
      <c r="F21" s="31" t="s">
        <v>48</v>
      </c>
      <c r="G21" s="105" t="str">
        <f>G20</f>
        <v>p.FamilyName9</v>
      </c>
      <c r="H21" s="31" t="s">
        <v>49</v>
      </c>
      <c r="I21" s="30" t="str">
        <f>H45</f>
        <v>p.GirlFirstName9</v>
      </c>
      <c r="J21" s="31" t="s">
        <v>122</v>
      </c>
      <c r="K21" s="30" t="str">
        <f>J45</f>
        <v>p.BirthdayKid9</v>
      </c>
      <c r="L21" s="31" t="s">
        <v>54</v>
      </c>
      <c r="M21" s="30" t="str">
        <f>I45</f>
        <v>p.AHVNumber35</v>
      </c>
      <c r="N21" s="31" t="s">
        <v>123</v>
      </c>
      <c r="O21" s="30" t="str">
        <f ca="1">O20</f>
        <v>10.12.2021</v>
      </c>
      <c r="P21" s="31" t="s">
        <v>124</v>
      </c>
      <c r="Q21" s="30" t="s">
        <v>125</v>
      </c>
      <c r="R21" s="31" t="s">
        <v>126</v>
      </c>
      <c r="S21" s="30" t="s">
        <v>128</v>
      </c>
      <c r="T21" s="31" t="s">
        <v>34</v>
      </c>
      <c r="AF21" s="35"/>
      <c r="AH21" s="41">
        <v>2851</v>
      </c>
      <c r="AI21" s="41">
        <f t="shared" ref="AI21" si="21">AH21/$AH21</f>
        <v>1</v>
      </c>
      <c r="AJ21" s="41">
        <v>2698</v>
      </c>
      <c r="AK21" s="26">
        <f t="shared" si="1"/>
        <v>0.94633461943177832</v>
      </c>
      <c r="AL21" s="30">
        <v>2845</v>
      </c>
      <c r="AM21" s="30">
        <f t="shared" si="1"/>
        <v>0.99789547527183442</v>
      </c>
    </row>
    <row r="22" spans="1:39" s="29" customFormat="1" ht="17.25" customHeight="1">
      <c r="A22" s="65"/>
      <c r="B22" s="29" t="s">
        <v>113</v>
      </c>
      <c r="C22" s="108" t="str">
        <f t="shared" si="9"/>
        <v>{"vermieter":"Graber Immobilien","wohnungsgrosse":"4 Zimmer","mietkosten":3000,"nebenkosten":300}</v>
      </c>
      <c r="D22" s="41"/>
      <c r="E22" s="29" t="str">
        <f t="shared" si="10"/>
        <v>{"vermieter":"Graber Immobilien","wohnungsgrosse":"4 Zimmer","mietkosten":3000,"nebenkosten":300}</v>
      </c>
      <c r="F22" s="108" t="s">
        <v>114</v>
      </c>
      <c r="G22" s="102" t="s">
        <v>115</v>
      </c>
      <c r="H22" s="29" t="s">
        <v>116</v>
      </c>
      <c r="I22" s="29" t="s">
        <v>117</v>
      </c>
      <c r="J22" s="29" t="s">
        <v>118</v>
      </c>
      <c r="K22" s="29">
        <v>3000</v>
      </c>
      <c r="L22" s="29" t="s">
        <v>119</v>
      </c>
      <c r="M22" s="29">
        <v>300</v>
      </c>
      <c r="N22" s="29" t="s">
        <v>120</v>
      </c>
      <c r="AH22" s="41"/>
      <c r="AI22" s="41" t="e">
        <f t="shared" ref="AI22" si="22">AH22/$AH22</f>
        <v>#DIV/0!</v>
      </c>
      <c r="AJ22" s="41"/>
      <c r="AK22" s="26" t="e">
        <f t="shared" si="1"/>
        <v>#DIV/0!</v>
      </c>
      <c r="AM22" s="29" t="e">
        <f t="shared" si="1"/>
        <v>#DIV/0!</v>
      </c>
    </row>
    <row r="23" spans="1:39" ht="17.25" customHeight="1">
      <c r="A23" s="27">
        <v>23</v>
      </c>
      <c r="B23" s="28" t="s">
        <v>129</v>
      </c>
      <c r="C23" s="29" t="str">
        <f t="shared" si="9"/>
        <v>{"dossier":p.DossierName9,"klientschaft":`${p.FamilyName9}, ${p.ManFirstName9}`}</v>
      </c>
      <c r="E23" s="29" t="str">
        <f t="shared" si="10"/>
        <v>{"dossier":p.DossierName9,"klientschaft":`${p.FamilyName9}, ${p.ManFirstName9}`}</v>
      </c>
      <c r="F23" s="31" t="s">
        <v>130</v>
      </c>
      <c r="G23" s="105" t="str">
        <f>G12</f>
        <v>p.DossierName9</v>
      </c>
      <c r="H23" s="31" t="s">
        <v>98</v>
      </c>
      <c r="I23" s="30" t="str">
        <f>"${"&amp;$G$5&amp;"}, ${"&amp;$I$5&amp;"}"</f>
        <v>${p.FamilyName9}, ${p.ManFirstName9}</v>
      </c>
      <c r="J23" s="31" t="s">
        <v>131</v>
      </c>
      <c r="K23" s="105"/>
      <c r="AF23" s="35"/>
      <c r="AH23" s="41">
        <v>2610</v>
      </c>
      <c r="AI23" s="41">
        <f t="shared" ref="AI23" si="23">AH23/$AH23</f>
        <v>1</v>
      </c>
      <c r="AJ23" s="41">
        <v>2700</v>
      </c>
      <c r="AK23" s="26">
        <f t="shared" si="1"/>
        <v>1.0344827586206897</v>
      </c>
      <c r="AL23" s="30">
        <v>2733</v>
      </c>
      <c r="AM23" s="30">
        <f t="shared" si="1"/>
        <v>1.0471264367816091</v>
      </c>
    </row>
    <row r="24" spans="1:39" ht="17.25" customHeight="1">
      <c r="A24" s="27">
        <v>24</v>
      </c>
      <c r="B24" s="28" t="s">
        <v>132</v>
      </c>
      <c r="C24" s="29" t="str">
        <f t="shared" ca="1" si="9"/>
        <v>{"panelTitle":"Erwerbssituation / Einnahmen","zahlbarDurch":"BKW Energie AG","pensumm":"100","betrag":"1000","gueltigVon":"01.01.2024","gueltigBis":"31.12.2025","checkbox":"x"}</v>
      </c>
      <c r="E24" s="29" t="str">
        <f t="shared" ca="1" si="10"/>
        <v>{"panelTitle":"Erwerbssituation / Einnahmen","zahlbarDurch":"BKW Energie AG","pensumm":"100","betrag":"1000","gueltigVon":"01.01.2024","gueltigBis":"31.12.2025","checkbox":"x"}</v>
      </c>
      <c r="F24" s="115" t="s">
        <v>133</v>
      </c>
      <c r="G24" s="30" t="s">
        <v>134</v>
      </c>
      <c r="H24" s="30" t="s">
        <v>135</v>
      </c>
      <c r="I24" s="105" t="s">
        <v>136</v>
      </c>
      <c r="J24" s="30" t="s">
        <v>137</v>
      </c>
      <c r="K24" s="105">
        <v>100</v>
      </c>
      <c r="L24" s="31" t="s">
        <v>138</v>
      </c>
      <c r="M24" s="30">
        <v>1000</v>
      </c>
      <c r="N24" s="31" t="s">
        <v>139</v>
      </c>
      <c r="O24" s="30" t="str">
        <f ca="1">"01.01."&amp;YEAR((TODAY()-366))</f>
        <v>01.01.2024</v>
      </c>
      <c r="P24" s="30" t="s">
        <v>140</v>
      </c>
      <c r="Q24" s="30" t="str">
        <f ca="1">"31.12."&amp;YEAR(TODAY())</f>
        <v>31.12.2025</v>
      </c>
      <c r="R24" s="30" t="s">
        <v>141</v>
      </c>
      <c r="S24" s="30" t="s">
        <v>142</v>
      </c>
      <c r="T24" s="30" t="s">
        <v>34</v>
      </c>
      <c r="V24" s="30"/>
      <c r="AF24" s="65"/>
      <c r="AH24" s="41">
        <v>5310</v>
      </c>
      <c r="AI24" s="41">
        <f t="shared" ref="AI24" si="24">AH24/$AH24</f>
        <v>1</v>
      </c>
      <c r="AJ24" s="41">
        <v>5369</v>
      </c>
      <c r="AK24" s="26">
        <f t="shared" si="1"/>
        <v>1.0111111111111111</v>
      </c>
      <c r="AL24" s="30">
        <v>5217</v>
      </c>
      <c r="AM24" s="30">
        <f t="shared" si="1"/>
        <v>0.98248587570621471</v>
      </c>
    </row>
    <row r="25" spans="1:39" ht="17.25" customHeight="1">
      <c r="A25" s="100">
        <v>25</v>
      </c>
      <c r="B25" s="28" t="s">
        <v>108</v>
      </c>
      <c r="C25" s="29" t="str">
        <f>E25</f>
        <v>{"searchDossierOrKlient":p.DossierName9,"resultType":"Dossiers"}</v>
      </c>
      <c r="D25" s="41"/>
      <c r="E25" s="29" t="str">
        <f>F25&amp;G25&amp;H25&amp;I25&amp;J25&amp;K25&amp;L25&amp;M25&amp;N25&amp;O25&amp;P25&amp;Q25&amp;R25&amp;S25&amp;T25&amp;U25&amp;V25&amp;W25&amp;X25</f>
        <v>{"searchDossierOrKlient":p.DossierName9,"resultType":"Dossiers"}</v>
      </c>
      <c r="F25" s="95" t="s">
        <v>109</v>
      </c>
      <c r="G25" s="96" t="str">
        <f>G23</f>
        <v>p.DossierName9</v>
      </c>
      <c r="H25" s="95" t="s">
        <v>110</v>
      </c>
      <c r="I25" s="107" t="s">
        <v>111</v>
      </c>
      <c r="J25" s="95" t="s">
        <v>34</v>
      </c>
      <c r="K25" s="105"/>
      <c r="L25" s="95"/>
      <c r="M25" s="41"/>
      <c r="N25" s="95"/>
      <c r="O25" s="41"/>
      <c r="P25" s="95"/>
      <c r="Q25" s="41"/>
      <c r="R25" s="95"/>
      <c r="S25" s="41"/>
      <c r="T25" s="95"/>
      <c r="U25" s="41"/>
      <c r="V25" s="95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>
        <v>3503</v>
      </c>
      <c r="AI25" s="41">
        <f t="shared" ref="AI25" si="25">AH25/$AH25</f>
        <v>1</v>
      </c>
      <c r="AJ25" s="41">
        <v>3557</v>
      </c>
      <c r="AK25" s="26">
        <f t="shared" si="1"/>
        <v>1.0154153582643448</v>
      </c>
      <c r="AL25" s="30">
        <v>3632</v>
      </c>
      <c r="AM25" s="30">
        <f t="shared" si="1"/>
        <v>1.036825578075935</v>
      </c>
    </row>
    <row r="26" spans="1:39" ht="17.25" customHeight="1">
      <c r="A26" s="27">
        <v>27</v>
      </c>
      <c r="B26" s="28" t="s">
        <v>151</v>
      </c>
      <c r="C26" s="29" t="str">
        <f ca="1">E26</f>
        <v>{"entscheidVom":"05.11.2025","begrundung":"Gar keine Begründung","unterstutzungab":"01.11.2025"}</v>
      </c>
      <c r="D26" s="41"/>
      <c r="E26" s="29" t="str">
        <f ca="1">F26&amp;G26&amp;H26&amp;I26&amp;J26&amp;K26&amp;L26&amp;M26&amp;N26&amp;O26&amp;P26&amp;Q26&amp;R26&amp;S26&amp;T26&amp;U26&amp;V26&amp;W26&amp;X26</f>
        <v>{"entscheidVom":"05.11.2025","begrundung":"Gar keine Begründung","unterstutzungab":"01.11.2025"}</v>
      </c>
      <c r="F26" s="95" t="s">
        <v>152</v>
      </c>
      <c r="G26" s="96" t="str">
        <f ca="1">TEXT(TEXT(TODAY(),"DD")&amp;"."&amp;TEXT(TODAY(),"MM")&amp;"."&amp;TEXT(TODAY(),"YYYY"),"DD.MM.YYYY")</f>
        <v>05.11.2025</v>
      </c>
      <c r="H26" s="95" t="s">
        <v>153</v>
      </c>
      <c r="I26" s="107" t="s">
        <v>154</v>
      </c>
      <c r="J26" s="95" t="s">
        <v>155</v>
      </c>
      <c r="K26" s="105" t="str">
        <f ca="1">TEXT(TEXT(1,"DD")&amp;"."&amp;TEXT(TODAY(),"MM")&amp;"."&amp;TEXT(TODAY(),"YYYY"),"DD.MM.YYYY")</f>
        <v>01.11.2025</v>
      </c>
      <c r="L26" s="95" t="s">
        <v>34</v>
      </c>
      <c r="M26" s="41"/>
      <c r="N26" s="95"/>
      <c r="O26" s="41"/>
      <c r="P26" s="95"/>
      <c r="Q26" s="41"/>
      <c r="R26" s="95"/>
      <c r="S26" s="41"/>
      <c r="T26" s="95"/>
      <c r="U26" s="41"/>
      <c r="V26" s="95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>
        <v>4833</v>
      </c>
      <c r="AI26" s="41">
        <f t="shared" ref="AI26" si="26">AH26/$AH26</f>
        <v>1</v>
      </c>
      <c r="AJ26" s="41">
        <v>4967</v>
      </c>
      <c r="AK26" s="26">
        <f t="shared" si="1"/>
        <v>1.0277260500724188</v>
      </c>
      <c r="AL26" s="30">
        <v>4745</v>
      </c>
      <c r="AM26" s="30">
        <f t="shared" si="1"/>
        <v>0.98179184771363537</v>
      </c>
    </row>
    <row r="27" spans="1:39" ht="17.25" customHeight="1">
      <c r="A27" s="100"/>
      <c r="B27" s="28" t="s">
        <v>156</v>
      </c>
      <c r="C27" s="29" t="str">
        <f ca="1">E27</f>
        <v>{"ubernahmeWohnkostenCFH":"100","uebernahmeWohnkostenVon":"01.11.2025","uebernahmeWohnkostenBis":"27.5.2026","uebernahemBegruendung":"Die Wohnungen sind teuer hier"}</v>
      </c>
      <c r="D27" s="41"/>
      <c r="E27" s="29" t="str">
        <f ca="1">F27&amp;G27&amp;H27&amp;I27&amp;J27&amp;K27&amp;L27&amp;M27&amp;N27&amp;O27&amp;P27&amp;Q27&amp;R27&amp;S27&amp;T27&amp;U27&amp;V27&amp;W27&amp;X27</f>
        <v>{"ubernahmeWohnkostenCFH":"100","uebernahmeWohnkostenVon":"01.11.2025","uebernahmeWohnkostenBis":"27.5.2026","uebernahemBegruendung":"Die Wohnungen sind teuer hier"}</v>
      </c>
      <c r="F27" s="95" t="s">
        <v>157</v>
      </c>
      <c r="G27" s="96">
        <v>100</v>
      </c>
      <c r="H27" s="95" t="s">
        <v>158</v>
      </c>
      <c r="I27" s="107" t="str">
        <f ca="1">"01."&amp;MONTH(TODAY())&amp;"."&amp;YEAR(TODAY())</f>
        <v>01.11.2025</v>
      </c>
      <c r="J27" s="95" t="s">
        <v>159</v>
      </c>
      <c r="K27" s="105" t="str">
        <f ca="1">"27."&amp;MONTH(TODAY()+180)&amp;"."&amp;YEAR(TODAY()+180)</f>
        <v>27.5.2026</v>
      </c>
      <c r="L27" s="95" t="s">
        <v>160</v>
      </c>
      <c r="M27" s="41" t="s">
        <v>161</v>
      </c>
      <c r="N27" s="95" t="s">
        <v>34</v>
      </c>
      <c r="O27" s="41"/>
      <c r="P27" s="95"/>
      <c r="Q27" s="41"/>
      <c r="R27" s="95"/>
      <c r="S27" s="41"/>
      <c r="T27" s="95"/>
      <c r="U27" s="41"/>
      <c r="V27" s="95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 t="e">
        <f t="shared" ref="AI27" si="27">AH27/$AH27</f>
        <v>#DIV/0!</v>
      </c>
      <c r="AJ27" s="41"/>
      <c r="AK27" s="26" t="e">
        <f t="shared" si="1"/>
        <v>#DIV/0!</v>
      </c>
      <c r="AM27" s="30" t="e">
        <f t="shared" si="1"/>
        <v>#DIV/0!</v>
      </c>
    </row>
    <row r="28" spans="1:39" ht="17.25" customHeight="1">
      <c r="A28" s="27">
        <v>30</v>
      </c>
      <c r="B28" s="28" t="s">
        <v>163</v>
      </c>
      <c r="C28" s="29" t="str">
        <f t="shared" ref="C28:C34" ca="1" si="28">E28</f>
        <v>{"lEvonDate":"05.11.2025","lEbisDate":"05.11.2026","checkStatus":"In Bearbeitung"}</v>
      </c>
      <c r="D28" s="41"/>
      <c r="E28" s="29" t="str">
        <f t="shared" ref="E28:E38" ca="1" si="29">F28&amp;G28&amp;H28&amp;I28&amp;J28&amp;K28&amp;L28&amp;M28&amp;N28&amp;O28&amp;P28&amp;Q28&amp;R28&amp;S28&amp;T28&amp;U28&amp;V28&amp;W28&amp;X28</f>
        <v>{"lEvonDate":"05.11.2025","lEbisDate":"05.11.2026","checkStatus":"In Bearbeitung"}</v>
      </c>
      <c r="F28" s="95" t="s">
        <v>164</v>
      </c>
      <c r="G28" s="96" t="str">
        <f ca="1">TEXT(TEXT(TODAY(),"DD")&amp;"."&amp;TEXT(TODAY(),"MM")&amp;"."&amp;TEXT(TODAY(),"YYYY"),"DD.MM.YYYY")</f>
        <v>05.11.2025</v>
      </c>
      <c r="H28" s="95" t="s">
        <v>165</v>
      </c>
      <c r="I28" s="107" t="str">
        <f ca="1">TEXT(TEXT(TODAY(),"DD")&amp;"."&amp;TEXT(TODAY(),"MM")&amp;"."&amp;TEXT(TODAY()+360,"YYYY"),"DD.MM.YYYY")</f>
        <v>05.11.2026</v>
      </c>
      <c r="J28" s="95" t="s">
        <v>101</v>
      </c>
      <c r="K28" s="105" t="s">
        <v>102</v>
      </c>
      <c r="L28" s="95" t="s">
        <v>34</v>
      </c>
      <c r="M28" s="41"/>
      <c r="N28" s="95"/>
      <c r="O28" s="41"/>
      <c r="P28" s="95"/>
      <c r="Q28" s="41"/>
      <c r="R28" s="95"/>
      <c r="S28" s="41"/>
      <c r="T28" s="95"/>
      <c r="U28" s="41"/>
      <c r="V28" s="95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>
        <v>10843</v>
      </c>
      <c r="AI28" s="41">
        <f>AH28/$AH28</f>
        <v>1</v>
      </c>
      <c r="AJ28" s="41">
        <v>10578</v>
      </c>
      <c r="AK28" s="26">
        <f>AJ28/$AH28</f>
        <v>0.97556026929816475</v>
      </c>
      <c r="AL28" s="30">
        <v>10172</v>
      </c>
      <c r="AM28" s="30">
        <f>AL28/$AH28</f>
        <v>0.93811675735497557</v>
      </c>
    </row>
    <row r="29" spans="1:39" ht="17.25" customHeight="1">
      <c r="A29" s="27">
        <v>31</v>
      </c>
      <c r="B29" s="28" t="s">
        <v>103</v>
      </c>
      <c r="C29" s="29" t="str">
        <f>E29</f>
        <v>{"username":"aventis-gemeinde-ma@diartis.ch","password":"#xFymiADPk7wJG/FWMz"}</v>
      </c>
      <c r="D29" s="41"/>
      <c r="E29" s="29" t="str">
        <f>F29&amp;G29&amp;H29&amp;I29&amp;J29&amp;K29&amp;L29&amp;M29&amp;N29&amp;O29&amp;P29&amp;Q29&amp;R29&amp;S29&amp;T29&amp;U29&amp;V29&amp;W29&amp;X29</f>
        <v>{"username":"aventis-gemeinde-ma@diartis.ch","password":"#xFymiADPk7wJG/FWMz"}</v>
      </c>
      <c r="F29" s="95" t="s">
        <v>27</v>
      </c>
      <c r="G29" s="171" t="s">
        <v>169</v>
      </c>
      <c r="H29" s="95" t="s">
        <v>29</v>
      </c>
      <c r="I29" s="103" t="s">
        <v>170</v>
      </c>
      <c r="J29" s="95" t="s">
        <v>34</v>
      </c>
      <c r="K29" s="105"/>
      <c r="L29" s="172"/>
      <c r="M29" s="41"/>
      <c r="N29" s="95"/>
      <c r="O29" s="95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>
        <v>10738</v>
      </c>
      <c r="AI29" s="41">
        <f t="shared" ref="AI29" si="30">AH29/$AH29</f>
        <v>1</v>
      </c>
      <c r="AJ29" s="41">
        <v>10584</v>
      </c>
      <c r="AK29" s="26">
        <f t="shared" si="1"/>
        <v>0.98565840938722293</v>
      </c>
      <c r="AL29" s="30">
        <v>11456</v>
      </c>
      <c r="AM29" s="30">
        <f t="shared" si="1"/>
        <v>1.0668653380517787</v>
      </c>
    </row>
    <row r="30" spans="1:39" ht="17.25" customHeight="1">
      <c r="A30" s="27">
        <v>32</v>
      </c>
      <c r="B30" s="28" t="s">
        <v>103</v>
      </c>
      <c r="C30" s="29" t="str">
        <f t="shared" si="28"/>
        <v>{"username":"Bern.Sachbearbeiterin@diartis.ch","password":"XXxa22?pdTA66-S@"}</v>
      </c>
      <c r="E30" s="29" t="str">
        <f t="shared" si="29"/>
        <v>{"username":"Bern.Sachbearbeiterin@diartis.ch","password":"XXxa22?pdTA66-S@"}</v>
      </c>
      <c r="F30" s="31" t="s">
        <v>27</v>
      </c>
      <c r="G30" s="30" t="s">
        <v>28</v>
      </c>
      <c r="H30" s="31" t="s">
        <v>29</v>
      </c>
      <c r="I30" s="30" t="s">
        <v>30</v>
      </c>
      <c r="J30" s="31" t="s">
        <v>34</v>
      </c>
      <c r="M30" s="103"/>
      <c r="Q30" s="105"/>
      <c r="T30" s="30"/>
      <c r="AH30" s="30">
        <v>8405</v>
      </c>
      <c r="AI30" s="30">
        <f t="shared" ref="AI30" si="31">AH30/$AH30</f>
        <v>1</v>
      </c>
      <c r="AJ30" s="30">
        <v>8353</v>
      </c>
      <c r="AK30" s="26">
        <f t="shared" si="1"/>
        <v>0.99381320642474713</v>
      </c>
      <c r="AL30" s="30">
        <v>9277</v>
      </c>
      <c r="AM30" s="30">
        <f t="shared" si="1"/>
        <v>1.1037477691850088</v>
      </c>
    </row>
    <row r="31" spans="1:39" ht="17.25" customHeight="1">
      <c r="A31" s="27">
        <v>34</v>
      </c>
      <c r="B31" s="109" t="s">
        <v>244</v>
      </c>
      <c r="C31" s="29" t="str">
        <f>E31</f>
        <v>{"dossier":p.DossierName9,"buttonName":"Prüfung OK","checkEntscheid":"Geprüft"}</v>
      </c>
      <c r="E31" s="29" t="str">
        <f t="shared" si="29"/>
        <v>{"dossier":p.DossierName9,"buttonName":"Prüfung OK","checkEntscheid":"Geprüft"}</v>
      </c>
      <c r="F31" s="95" t="s">
        <v>130</v>
      </c>
      <c r="G31" s="30" t="str">
        <f>G25</f>
        <v>p.DossierName9</v>
      </c>
      <c r="H31" s="95" t="s">
        <v>167</v>
      </c>
      <c r="I31" s="30" t="s">
        <v>168</v>
      </c>
      <c r="J31" s="95" t="s">
        <v>245</v>
      </c>
      <c r="K31" s="30" t="s">
        <v>246</v>
      </c>
      <c r="L31" s="95" t="s">
        <v>34</v>
      </c>
      <c r="N31" s="95"/>
      <c r="P31" s="95"/>
      <c r="R31" s="95"/>
      <c r="T31" s="95"/>
      <c r="V31" s="95"/>
      <c r="AH31" s="30">
        <v>10169</v>
      </c>
      <c r="AI31" s="30">
        <f t="shared" ref="AI31" si="32">AH31/$AH31</f>
        <v>1</v>
      </c>
      <c r="AJ31" s="30">
        <v>9698</v>
      </c>
      <c r="AK31" s="26">
        <f t="shared" si="1"/>
        <v>0.95368276133346441</v>
      </c>
      <c r="AL31" s="30">
        <v>11047</v>
      </c>
      <c r="AM31" s="30">
        <f t="shared" si="1"/>
        <v>1.0863408398072574</v>
      </c>
    </row>
    <row r="32" spans="1:39" s="25" customFormat="1" ht="17.25" customHeight="1">
      <c r="A32" s="173">
        <v>35</v>
      </c>
      <c r="B32" s="174" t="s">
        <v>103</v>
      </c>
      <c r="C32" s="175" t="str">
        <f t="shared" si="28"/>
        <v>{"username":"aventis-gemeinde-ma@diartis.ch","password":"#xFymiADPk7wJG/FWMz"}</v>
      </c>
      <c r="E32" s="175" t="str">
        <f t="shared" si="29"/>
        <v>{"username":"aventis-gemeinde-ma@diartis.ch","password":"#xFymiADPk7wJG/FWMz"}</v>
      </c>
      <c r="F32" s="176" t="s">
        <v>27</v>
      </c>
      <c r="G32" s="25" t="s">
        <v>169</v>
      </c>
      <c r="H32" s="176" t="s">
        <v>29</v>
      </c>
      <c r="I32" s="25" t="s">
        <v>170</v>
      </c>
      <c r="J32" s="176" t="s">
        <v>34</v>
      </c>
      <c r="L32" s="176"/>
      <c r="N32" s="176"/>
      <c r="P32" s="176"/>
      <c r="R32" s="176"/>
      <c r="T32" s="176"/>
      <c r="V32" s="176"/>
      <c r="AH32" s="25">
        <v>8840</v>
      </c>
      <c r="AI32" s="25">
        <f t="shared" ref="AI32" si="33">AH32/$AH32</f>
        <v>1</v>
      </c>
      <c r="AJ32" s="25">
        <v>8735</v>
      </c>
      <c r="AK32" s="26">
        <f t="shared" si="1"/>
        <v>0.9881221719457014</v>
      </c>
      <c r="AL32" s="25">
        <v>8581</v>
      </c>
      <c r="AM32" s="25">
        <f t="shared" si="1"/>
        <v>0.97070135746606334</v>
      </c>
    </row>
    <row r="33" spans="1:39" s="25" customFormat="1" ht="17.25" customHeight="1">
      <c r="A33" s="173">
        <v>37</v>
      </c>
      <c r="B33" s="174" t="s">
        <v>244</v>
      </c>
      <c r="C33" s="175" t="str">
        <f t="shared" si="28"/>
        <v>{"dossier":p.DossierName9,"buttonName":"Bewilligen","checkEntscheid":""}</v>
      </c>
      <c r="E33" s="175" t="str">
        <f t="shared" si="29"/>
        <v>{"dossier":p.DossierName9,"buttonName":"Bewilligen","checkEntscheid":""}</v>
      </c>
      <c r="F33" s="176" t="s">
        <v>130</v>
      </c>
      <c r="G33" s="25" t="str">
        <f>G31</f>
        <v>p.DossierName9</v>
      </c>
      <c r="H33" s="176" t="s">
        <v>167</v>
      </c>
      <c r="I33" s="25" t="s">
        <v>105</v>
      </c>
      <c r="J33" s="176" t="s">
        <v>245</v>
      </c>
      <c r="L33" s="176" t="s">
        <v>34</v>
      </c>
      <c r="N33" s="176"/>
      <c r="P33" s="176"/>
      <c r="R33" s="176"/>
      <c r="T33" s="176"/>
      <c r="V33" s="176"/>
      <c r="AH33" s="25">
        <v>9762</v>
      </c>
      <c r="AI33" s="25">
        <f t="shared" ref="AI33" si="34">AH33/$AH33</f>
        <v>1</v>
      </c>
      <c r="AJ33" s="25">
        <v>9668</v>
      </c>
      <c r="AK33" s="26">
        <f t="shared" si="1"/>
        <v>0.99037082565048151</v>
      </c>
      <c r="AL33" s="25">
        <v>11409</v>
      </c>
      <c r="AM33" s="25">
        <f t="shared" si="1"/>
        <v>1.1687154271665643</v>
      </c>
    </row>
    <row r="34" spans="1:39" s="25" customFormat="1" ht="17.25" customHeight="1">
      <c r="A34" s="173">
        <v>38</v>
      </c>
      <c r="B34" s="177" t="s">
        <v>103</v>
      </c>
      <c r="C34" s="175" t="str">
        <f t="shared" si="28"/>
        <v>{"username":"Bern.Sachbearbeiterin@diartis.ch","password":"XXxa22?pdTA66-S@"}</v>
      </c>
      <c r="E34" s="175" t="str">
        <f t="shared" si="29"/>
        <v>{"username":"Bern.Sachbearbeiterin@diartis.ch","password":"XXxa22?pdTA66-S@"}</v>
      </c>
      <c r="F34" s="176" t="s">
        <v>27</v>
      </c>
      <c r="G34" s="25" t="s">
        <v>28</v>
      </c>
      <c r="H34" s="25" t="s">
        <v>29</v>
      </c>
      <c r="I34" s="25" t="s">
        <v>30</v>
      </c>
      <c r="J34" s="178" t="s">
        <v>34</v>
      </c>
      <c r="L34" s="176"/>
      <c r="N34" s="176"/>
      <c r="P34" s="176"/>
      <c r="R34" s="176"/>
      <c r="T34" s="176"/>
      <c r="V34" s="176"/>
      <c r="AH34" s="25">
        <v>7874</v>
      </c>
      <c r="AI34" s="25">
        <f t="shared" ref="AI34" si="35">AH34/$AH34</f>
        <v>1</v>
      </c>
      <c r="AJ34" s="25">
        <v>8109</v>
      </c>
      <c r="AK34" s="26">
        <f t="shared" si="1"/>
        <v>1.0298450596901194</v>
      </c>
      <c r="AL34" s="25">
        <v>7946</v>
      </c>
      <c r="AM34" s="25">
        <f t="shared" si="1"/>
        <v>1.0091440182880367</v>
      </c>
    </row>
    <row r="35" spans="1:39" s="25" customFormat="1" ht="17.25" customHeight="1">
      <c r="A35" s="173">
        <v>40</v>
      </c>
      <c r="B35" s="174" t="s">
        <v>108</v>
      </c>
      <c r="C35" s="175" t="str">
        <f>E35</f>
        <v>{"searchDossierOrKlient":p.DossierName9,"resultType":"Dossiers"}</v>
      </c>
      <c r="E35" s="175" t="str">
        <f>F35&amp;G35&amp;H35&amp;I35&amp;J35&amp;K35&amp;L35&amp;M35&amp;N35&amp;O35&amp;P35&amp;Q35&amp;R35&amp;S35&amp;T35&amp;U35&amp;V35&amp;W35&amp;X35</f>
        <v>{"searchDossierOrKlient":p.DossierName9,"resultType":"Dossiers"}</v>
      </c>
      <c r="F35" s="176" t="s">
        <v>109</v>
      </c>
      <c r="G35" s="25" t="str">
        <f>G33</f>
        <v>p.DossierName9</v>
      </c>
      <c r="H35" s="25" t="s">
        <v>110</v>
      </c>
      <c r="I35" s="25" t="s">
        <v>111</v>
      </c>
      <c r="J35" s="178" t="s">
        <v>34</v>
      </c>
      <c r="L35" s="176"/>
      <c r="N35" s="176"/>
      <c r="P35" s="176"/>
      <c r="R35" s="176"/>
      <c r="T35" s="176"/>
      <c r="V35" s="176"/>
      <c r="AH35" s="25">
        <v>10271</v>
      </c>
      <c r="AI35" s="25">
        <f t="shared" ref="AI35" si="36">AH35/$AH35</f>
        <v>1</v>
      </c>
      <c r="AJ35" s="25">
        <v>9399</v>
      </c>
      <c r="AK35" s="26">
        <f t="shared" si="1"/>
        <v>0.91510076915587579</v>
      </c>
      <c r="AL35" s="25">
        <v>10096</v>
      </c>
      <c r="AM35" s="25">
        <f t="shared" si="1"/>
        <v>0.98296173692921818</v>
      </c>
    </row>
    <row r="36" spans="1:39" s="25" customFormat="1" ht="17.25" customHeight="1">
      <c r="A36" s="173"/>
      <c r="B36" s="174" t="s">
        <v>172</v>
      </c>
      <c r="C36" s="175" t="str">
        <f ca="1">E36</f>
        <v xml:space="preserve">{"verwendungPeriode":"November 2025,Dezember 2025,Januar 2026,Februar 2026,März 2026,April 2026,Mai 2026","status":"Zu bezahlen"}																				
</v>
      </c>
      <c r="E36" s="175" t="str">
        <f ca="1">F36&amp;G36&amp;H36&amp;I36&amp;J36&amp;K36&amp;L36&amp;M36&amp;N36&amp;O36&amp;P36&amp;Q36&amp;R36&amp;S36&amp;T36&amp;U36&amp;V36&amp;W36</f>
        <v xml:space="preserve">{"verwendungPeriode":"November 2025,Dezember 2025,Januar 2026,Februar 2026,März 2026,April 2026,Mai 2026","status":"Zu bezahlen"}																				
</v>
      </c>
      <c r="F36" s="176" t="s">
        <v>174</v>
      </c>
      <c r="G36" s="25" t="str">
        <f ca="1">E56&amp;","&amp;E57&amp;","&amp;E58&amp;","&amp;E59&amp;","&amp;E60&amp;","&amp;E61&amp;","&amp;E62</f>
        <v>November 2025,Dezember 2025,Januar 2026,Februar 2026,März 2026,April 2026,Mai 2026</v>
      </c>
      <c r="J36" s="178" t="s">
        <v>247</v>
      </c>
      <c r="K36" s="25" t="s">
        <v>177</v>
      </c>
      <c r="L36" s="176" t="s">
        <v>248</v>
      </c>
      <c r="N36" s="176"/>
      <c r="P36" s="176"/>
      <c r="R36" s="176"/>
      <c r="T36" s="176"/>
      <c r="V36" s="176"/>
      <c r="AI36" s="25" t="e">
        <f t="shared" ref="AI36" si="37">AH36/$AH36</f>
        <v>#DIV/0!</v>
      </c>
      <c r="AK36" s="26" t="e">
        <f t="shared" si="1"/>
        <v>#DIV/0!</v>
      </c>
      <c r="AM36" s="25" t="e">
        <f t="shared" si="1"/>
        <v>#DIV/0!</v>
      </c>
    </row>
    <row r="37" spans="1:39" s="25" customFormat="1" ht="17.25" customHeight="1">
      <c r="A37" s="173"/>
      <c r="B37" s="174" t="s">
        <v>179</v>
      </c>
      <c r="C37" s="175" t="str">
        <f>E37</f>
        <v>{"haftungsType":"Einseitige Solidarhaftung erfassen","haftungDurch":`${p.FamilyName9}, ${p.ManFirstName9}`,"haftungVon":"01.01.2024","haftungBis":"31.12.2024","haftungFuer":`${p.FamilyName9}, ${p.ManFirstName10}`,"person1":"","person2":""}</v>
      </c>
      <c r="E37" s="175" t="str">
        <f t="shared" si="29"/>
        <v>{"haftungsType":"Einseitige Solidarhaftung erfassen","haftungDurch":`${p.FamilyName9}, ${p.ManFirstName9}`,"haftungVon":"01.01.2024","haftungBis":"31.12.2024","haftungFuer":`${p.FamilyName9}, ${p.ManFirstName10}`,"person1":"","person2":""}</v>
      </c>
      <c r="F37" s="176" t="s">
        <v>180</v>
      </c>
      <c r="G37" s="25" t="s">
        <v>181</v>
      </c>
      <c r="H37" s="176" t="s">
        <v>182</v>
      </c>
      <c r="I37" s="25" t="str">
        <f>I23</f>
        <v>${p.FamilyName9}, ${p.ManFirstName9}</v>
      </c>
      <c r="J37" s="179" t="s">
        <v>183</v>
      </c>
      <c r="K37" s="25" t="s">
        <v>184</v>
      </c>
      <c r="L37" s="176" t="s">
        <v>185</v>
      </c>
      <c r="M37" s="25" t="s">
        <v>186</v>
      </c>
      <c r="N37" s="176" t="s">
        <v>187</v>
      </c>
      <c r="O37" s="25" t="str">
        <f>"${"&amp;$G$5&amp;"}, ${"&amp;$H$46&amp;"}"</f>
        <v>${p.FamilyName9}, ${p.ManFirstName10}</v>
      </c>
      <c r="P37" s="176" t="s">
        <v>188</v>
      </c>
      <c r="R37" s="176" t="s">
        <v>189</v>
      </c>
      <c r="T37" s="176" t="s">
        <v>34</v>
      </c>
      <c r="V37" s="176"/>
      <c r="AI37" s="25" t="e">
        <f t="shared" ref="AI37" si="38">AH37/$AH37</f>
        <v>#DIV/0!</v>
      </c>
      <c r="AK37" s="26" t="e">
        <f t="shared" si="1"/>
        <v>#DIV/0!</v>
      </c>
      <c r="AM37" s="25" t="e">
        <f t="shared" si="1"/>
        <v>#DIV/0!</v>
      </c>
    </row>
    <row r="38" spans="1:39" s="25" customFormat="1" ht="17.25" customHeight="1">
      <c r="A38" s="173"/>
      <c r="B38" s="174" t="s">
        <v>179</v>
      </c>
      <c r="C38" s="175" t="str">
        <f>E38</f>
        <v>{"haftungsType":"Einzelhaftung erfassen","haftungDurch":`${p.FamilyName9}, ${p.ManFirstName9}`,"haftungVon":"01.01.2024","haftungBis":"31.12.2024","haftungFuer":`${p.FamilyName9}, ${p.GirlFirstName9}`,"person1":"","person2":""}</v>
      </c>
      <c r="E38" s="175" t="str">
        <f t="shared" si="29"/>
        <v>{"haftungsType":"Einzelhaftung erfassen","haftungDurch":`${p.FamilyName9}, ${p.ManFirstName9}`,"haftungVon":"01.01.2024","haftungBis":"31.12.2024","haftungFuer":`${p.FamilyName9}, ${p.GirlFirstName9}`,"person1":"","person2":""}</v>
      </c>
      <c r="F38" s="176" t="s">
        <v>180</v>
      </c>
      <c r="G38" s="180" t="s">
        <v>190</v>
      </c>
      <c r="H38" s="176" t="s">
        <v>182</v>
      </c>
      <c r="I38" s="25" t="str">
        <f>I23</f>
        <v>${p.FamilyName9}, ${p.ManFirstName9}</v>
      </c>
      <c r="J38" s="179" t="s">
        <v>183</v>
      </c>
      <c r="K38" s="25" t="s">
        <v>184</v>
      </c>
      <c r="L38" s="176" t="s">
        <v>185</v>
      </c>
      <c r="M38" s="25" t="s">
        <v>186</v>
      </c>
      <c r="N38" s="176" t="s">
        <v>187</v>
      </c>
      <c r="O38" s="25" t="str">
        <f>"${"&amp;$G$5&amp;"}, ${"&amp;$H$45&amp;"}"</f>
        <v>${p.FamilyName9}, ${p.GirlFirstName9}</v>
      </c>
      <c r="P38" s="176" t="s">
        <v>188</v>
      </c>
      <c r="R38" s="176" t="s">
        <v>189</v>
      </c>
      <c r="T38" s="176" t="s">
        <v>34</v>
      </c>
      <c r="V38" s="176"/>
      <c r="AI38" s="25" t="e">
        <f>AH38/(#REF!)</f>
        <v>#REF!</v>
      </c>
      <c r="AK38" s="26" t="e">
        <f>AJ38/(#REF!)</f>
        <v>#REF!</v>
      </c>
      <c r="AM38" s="25" t="e">
        <f>AL38/(#REF!)</f>
        <v>#REF!</v>
      </c>
    </row>
    <row r="39" spans="1:39" s="25" customFormat="1" ht="17.25" customHeight="1">
      <c r="A39" s="173"/>
      <c r="B39" s="174"/>
      <c r="C39" s="175"/>
      <c r="E39" s="175"/>
      <c r="F39" s="176"/>
      <c r="H39" s="176"/>
      <c r="J39" s="179"/>
      <c r="L39" s="176"/>
      <c r="N39" s="176"/>
      <c r="P39" s="176"/>
      <c r="R39" s="176"/>
      <c r="T39" s="176"/>
      <c r="V39" s="176"/>
      <c r="AI39" s="25" t="e">
        <f>AH39/(#REF!)</f>
        <v>#REF!</v>
      </c>
      <c r="AK39" s="26" t="e">
        <f>AJ39/(#REF!)</f>
        <v>#REF!</v>
      </c>
      <c r="AM39" s="25" t="e">
        <f>AL39/(#REF!)</f>
        <v>#REF!</v>
      </c>
    </row>
    <row r="40" spans="1:39" s="25" customFormat="1" ht="17.25" customHeight="1">
      <c r="A40" s="173"/>
      <c r="B40" s="174" t="s">
        <v>203</v>
      </c>
      <c r="C40" s="175"/>
      <c r="E40" s="175"/>
      <c r="F40" s="176"/>
      <c r="H40" s="176"/>
      <c r="J40" s="179"/>
      <c r="L40" s="176"/>
      <c r="N40" s="176"/>
      <c r="P40" s="176"/>
      <c r="R40" s="176"/>
      <c r="T40" s="176"/>
      <c r="V40" s="176"/>
      <c r="AI40" s="25" t="e">
        <f>AH40/(#REF!)</f>
        <v>#REF!</v>
      </c>
      <c r="AK40" s="26" t="e">
        <f>AJ40/(#REF!)</f>
        <v>#REF!</v>
      </c>
      <c r="AM40" s="25" t="e">
        <f>AL40/(#REF!)</f>
        <v>#REF!</v>
      </c>
    </row>
    <row r="41" spans="1:39" s="25" customFormat="1" ht="17.25" customHeight="1">
      <c r="A41" s="173"/>
      <c r="B41" s="174" t="s">
        <v>203</v>
      </c>
      <c r="C41" s="175"/>
      <c r="E41" s="175"/>
      <c r="F41" s="176"/>
      <c r="H41" s="176"/>
      <c r="J41" s="176"/>
      <c r="L41" s="176"/>
      <c r="N41" s="176"/>
      <c r="P41" s="176"/>
      <c r="R41" s="176"/>
      <c r="T41" s="176"/>
      <c r="V41" s="176"/>
      <c r="AI41" s="25" t="e">
        <f>AH41/(#REF!)</f>
        <v>#REF!</v>
      </c>
      <c r="AK41" s="26" t="e">
        <f>AJ41/(#REF!)</f>
        <v>#REF!</v>
      </c>
      <c r="AM41" s="25" t="e">
        <f>AL41/(#REF!)</f>
        <v>#REF!</v>
      </c>
    </row>
    <row r="42" spans="1:39" s="25" customFormat="1" ht="17.25" customHeight="1">
      <c r="A42" s="173"/>
      <c r="B42" s="174" t="s">
        <v>205</v>
      </c>
      <c r="C42" s="175"/>
      <c r="E42" s="181"/>
      <c r="F42" s="176"/>
      <c r="H42" s="176"/>
      <c r="J42" s="176"/>
      <c r="L42" s="176"/>
      <c r="N42" s="176"/>
      <c r="P42" s="176"/>
      <c r="R42" s="176"/>
      <c r="T42" s="176"/>
      <c r="V42" s="176"/>
      <c r="AI42" s="25" t="e">
        <f>AH42/(#REF!)</f>
        <v>#REF!</v>
      </c>
      <c r="AK42" s="26" t="e">
        <f>AJ42/(#REF!)</f>
        <v>#REF!</v>
      </c>
      <c r="AM42" s="25" t="e">
        <f>AL42/(#REF!)</f>
        <v>#REF!</v>
      </c>
    </row>
    <row r="43" spans="1:39" s="25" customFormat="1" ht="17.25" customHeight="1">
      <c r="A43" s="173"/>
      <c r="B43" s="174" t="s">
        <v>22</v>
      </c>
      <c r="C43" s="175"/>
      <c r="E43" s="175" t="e">
        <f t="array" aca="1" ref="E43" ca="1">Choosrows(H56:H79,1)</f>
        <v>#NAME?</v>
      </c>
      <c r="F43" s="176" t="s">
        <v>204</v>
      </c>
      <c r="G43" s="25" t="str">
        <f>"p.DossierName"&amp;G48</f>
        <v>p.DossierName9</v>
      </c>
      <c r="H43" s="176" t="str">
        <f>"p.ManFirstName"&amp;G48</f>
        <v>p.ManFirstName9</v>
      </c>
      <c r="I43" s="25" t="str">
        <f>"p.AHVNumber"&amp;G50</f>
        <v>p.AHVNumber33</v>
      </c>
      <c r="J43" s="176" t="str">
        <f>"p.BirthdayAdult"&amp;G48</f>
        <v>p.BirthdayAdult9</v>
      </c>
      <c r="L43" s="176"/>
      <c r="N43" s="176"/>
      <c r="P43" s="176"/>
      <c r="R43" s="176"/>
      <c r="T43" s="176"/>
      <c r="V43" s="176"/>
      <c r="AI43" s="25" t="e">
        <f>AH43/(#REF!)</f>
        <v>#REF!</v>
      </c>
      <c r="AK43" s="26" t="e">
        <f>AJ43/(#REF!)</f>
        <v>#REF!</v>
      </c>
      <c r="AM43" s="25" t="e">
        <f>AL43/(#REF!)</f>
        <v>#REF!</v>
      </c>
    </row>
    <row r="44" spans="1:39" s="25" customFormat="1" ht="17.25" customHeight="1">
      <c r="A44" s="173"/>
      <c r="B44" s="174"/>
      <c r="C44" s="175"/>
      <c r="E44" s="175" t="s">
        <v>210</v>
      </c>
      <c r="F44" s="176" t="s">
        <v>206</v>
      </c>
      <c r="G44" s="25" t="str">
        <f>"p.FamilyName"&amp;G48</f>
        <v>p.FamilyName9</v>
      </c>
      <c r="H44" s="176" t="str">
        <f>"p.WomanFirstName"&amp;G48</f>
        <v>p.WomanFirstName9</v>
      </c>
      <c r="I44" s="25" t="str">
        <f>"p.AHVNumber"&amp;G50+1</f>
        <v>p.AHVNumber34</v>
      </c>
      <c r="J44" s="176" t="str">
        <f>"p.BirthdayAdult"&amp;G49</f>
        <v>p.BirthdayAdult10</v>
      </c>
      <c r="L44" s="176"/>
      <c r="N44" s="176"/>
      <c r="P44" s="176"/>
      <c r="R44" s="176"/>
      <c r="T44" s="176"/>
      <c r="V44" s="176"/>
      <c r="AI44" s="25" t="e">
        <f>AH44/(#REF!)</f>
        <v>#REF!</v>
      </c>
      <c r="AK44" s="26" t="e">
        <f>AJ44/(#REF!)</f>
        <v>#REF!</v>
      </c>
      <c r="AM44" s="25" t="e">
        <f>AL44/(#REF!)</f>
        <v>#REF!</v>
      </c>
    </row>
    <row r="45" spans="1:39" s="25" customFormat="1" ht="17.25" customHeight="1">
      <c r="A45" s="173"/>
      <c r="B45" s="174"/>
      <c r="C45" s="175"/>
      <c r="D45" s="25">
        <f ca="1">MONTH(TODAY())</f>
        <v>11</v>
      </c>
      <c r="E45" s="175" t="str">
        <f t="array" aca="1" ref="E45" ca="1">_xlfn.CHOOSEROWS(G$53:G$76,D45)&amp;" "&amp;_xlfn.CHOOSEROWS(H$53:H$76,D45)</f>
        <v xml:space="preserve"> </v>
      </c>
      <c r="F45" s="176" t="s">
        <v>207</v>
      </c>
      <c r="G45" s="25" t="str">
        <f>G44</f>
        <v>p.FamilyName9</v>
      </c>
      <c r="H45" s="176" t="str">
        <f>"p.GirlFirstName"&amp;G48</f>
        <v>p.GirlFirstName9</v>
      </c>
      <c r="I45" s="25" t="str">
        <f>"p.AHVNumber"&amp;G50+2</f>
        <v>p.AHVNumber35</v>
      </c>
      <c r="J45" s="176" t="str">
        <f>"p.BirthdayKid"&amp;G48</f>
        <v>p.BirthdayKid9</v>
      </c>
      <c r="L45" s="176"/>
      <c r="N45" s="176"/>
      <c r="P45" s="176"/>
      <c r="R45" s="176"/>
      <c r="T45" s="176"/>
      <c r="V45" s="176"/>
      <c r="AI45" s="25" t="e">
        <f>AH45/(#REF!)</f>
        <v>#REF!</v>
      </c>
      <c r="AK45" s="26" t="e">
        <f>AJ45/(#REF!)</f>
        <v>#REF!</v>
      </c>
      <c r="AM45" s="25" t="e">
        <f>AL45/(#REF!)</f>
        <v>#REF!</v>
      </c>
    </row>
    <row r="46" spans="1:39" s="25" customFormat="1" ht="17.25" customHeight="1">
      <c r="A46" s="173"/>
      <c r="B46" s="174"/>
      <c r="C46" s="175"/>
      <c r="D46" s="25">
        <f ca="1">D45+1</f>
        <v>12</v>
      </c>
      <c r="E46" s="182" t="str">
        <f t="array" aca="1" ref="E46" ca="1">_xlfn.CHOOSEROWS(G$53:G$76,D46)&amp;" "&amp;_xlfn.CHOOSEROWS(H$53:H$76,D46)</f>
        <v xml:space="preserve"> </v>
      </c>
      <c r="F46" s="176"/>
      <c r="H46" s="176" t="str">
        <f>"p.ManFirstName"&amp;G49</f>
        <v>p.ManFirstName10</v>
      </c>
      <c r="I46" s="25" t="str">
        <f>"p.AHVNumber"&amp;G50+3</f>
        <v>p.AHVNumber36</v>
      </c>
      <c r="J46" s="176" t="str">
        <f>"p.BirthdayKid"&amp;G49</f>
        <v>p.BirthdayKid10</v>
      </c>
      <c r="L46" s="176"/>
      <c r="N46" s="176"/>
      <c r="P46" s="176"/>
      <c r="S46" s="176"/>
      <c r="U46" s="176"/>
      <c r="AI46" s="25" t="e">
        <f>AH46/(#REF!)</f>
        <v>#REF!</v>
      </c>
      <c r="AK46" s="26" t="e">
        <f>AJ46/(#REF!)</f>
        <v>#REF!</v>
      </c>
      <c r="AM46" s="25" t="e">
        <f>AL46/(#REF!)</f>
        <v>#REF!</v>
      </c>
    </row>
    <row r="47" spans="1:39" s="25" customFormat="1" ht="17.25" customHeight="1">
      <c r="A47" s="173"/>
      <c r="B47" s="174"/>
      <c r="C47" s="175"/>
      <c r="D47" s="25">
        <f t="shared" ref="D47:D51" ca="1" si="39">D46+1</f>
        <v>13</v>
      </c>
      <c r="E47" s="182" t="str">
        <f t="array" aca="1" ref="E47" ca="1">_xlfn.CHOOSEROWS(G$53:G$76,D47)&amp;" "&amp;_xlfn.CHOOSEROWS(H$53:H$76,D47)</f>
        <v xml:space="preserve"> </v>
      </c>
      <c r="F47" s="176"/>
      <c r="G47" s="25" t="str">
        <f>G43</f>
        <v>p.DossierName9</v>
      </c>
      <c r="H47" s="176" t="str">
        <f>H43</f>
        <v>p.ManFirstName9</v>
      </c>
      <c r="I47" s="25" t="str">
        <f>I43</f>
        <v>p.AHVNumber33</v>
      </c>
      <c r="J47" s="176" t="str">
        <f>J43</f>
        <v>p.BirthdayAdult9</v>
      </c>
      <c r="L47" s="176"/>
      <c r="N47" s="176"/>
      <c r="P47" s="176"/>
      <c r="S47" s="176"/>
      <c r="U47" s="176"/>
      <c r="AI47" s="25" t="e">
        <f>AH47/(#REF!)</f>
        <v>#REF!</v>
      </c>
      <c r="AK47" s="26" t="e">
        <f>AJ47/(#REF!)</f>
        <v>#REF!</v>
      </c>
      <c r="AM47" s="25" t="e">
        <f>AL47/(#REF!)</f>
        <v>#REF!</v>
      </c>
    </row>
    <row r="48" spans="1:39" s="25" customFormat="1" ht="17.25" customHeight="1">
      <c r="A48" s="173"/>
      <c r="B48" s="174"/>
      <c r="C48" s="175"/>
      <c r="D48" s="25">
        <f t="shared" ca="1" si="39"/>
        <v>14</v>
      </c>
      <c r="E48" s="182" t="str">
        <f t="array" aca="1" ref="E48" ca="1">_xlfn.CHOOSEROWS(G$53:G$76,D48)&amp;" "&amp;_xlfn.CHOOSEROWS(H$53:H$76,D48)</f>
        <v xml:space="preserve"> </v>
      </c>
      <c r="F48" s="176"/>
      <c r="G48" s="25">
        <v>9</v>
      </c>
      <c r="H48" s="176" t="str">
        <f t="shared" ref="H48:J50" si="40">H44</f>
        <v>p.WomanFirstName9</v>
      </c>
      <c r="I48" s="25" t="str">
        <f t="shared" si="40"/>
        <v>p.AHVNumber34</v>
      </c>
      <c r="J48" s="176" t="str">
        <f t="shared" si="40"/>
        <v>p.BirthdayAdult10</v>
      </c>
      <c r="L48" s="176"/>
      <c r="N48" s="176"/>
      <c r="P48" s="176"/>
      <c r="S48" s="176"/>
      <c r="U48" s="176"/>
      <c r="AI48" s="25" t="e">
        <f>AH48/(#REF!)</f>
        <v>#REF!</v>
      </c>
      <c r="AK48" s="5" t="e">
        <f>AJ48/(#REF!)</f>
        <v>#REF!</v>
      </c>
      <c r="AM48" s="25" t="e">
        <f>AL48/(#REF!)</f>
        <v>#REF!</v>
      </c>
    </row>
    <row r="49" spans="1:39" s="25" customFormat="1" ht="17.25" customHeight="1">
      <c r="A49" s="173"/>
      <c r="B49" s="174"/>
      <c r="C49" s="175"/>
      <c r="D49" s="25">
        <f t="shared" ca="1" si="39"/>
        <v>15</v>
      </c>
      <c r="E49" s="182" t="str">
        <f t="array" aca="1" ref="E49" ca="1">_xlfn.CHOOSEROWS(G$53:G$76,D49)&amp;" "&amp;_xlfn.CHOOSEROWS(H$53:H$76,D49)</f>
        <v xml:space="preserve"> </v>
      </c>
      <c r="F49" s="176"/>
      <c r="G49" s="25">
        <f>G48+1</f>
        <v>10</v>
      </c>
      <c r="H49" s="176" t="str">
        <f t="shared" si="40"/>
        <v>p.GirlFirstName9</v>
      </c>
      <c r="I49" s="25" t="str">
        <f t="shared" si="40"/>
        <v>p.AHVNumber35</v>
      </c>
      <c r="J49" s="176" t="str">
        <f t="shared" si="40"/>
        <v>p.BirthdayKid9</v>
      </c>
      <c r="L49" s="176"/>
      <c r="N49" s="176"/>
      <c r="P49" s="176"/>
      <c r="S49" s="176"/>
      <c r="U49" s="176"/>
      <c r="AI49" s="25" t="e">
        <f>AH49/(#REF!)</f>
        <v>#REF!</v>
      </c>
      <c r="AK49" s="5" t="e">
        <f>AJ49/(#REF!)</f>
        <v>#REF!</v>
      </c>
      <c r="AM49" s="25" t="e">
        <f>AL49/(#REF!)</f>
        <v>#REF!</v>
      </c>
    </row>
    <row r="50" spans="1:39" s="25" customFormat="1" ht="17.25" customHeight="1">
      <c r="A50" s="173"/>
      <c r="B50" s="174"/>
      <c r="C50" s="175"/>
      <c r="D50" s="25">
        <f t="shared" ca="1" si="39"/>
        <v>16</v>
      </c>
      <c r="E50" s="182" t="str">
        <f t="array" aca="1" ref="E50" ca="1">_xlfn.CHOOSEROWS(G$53:G$76,D50)&amp;" "&amp;_xlfn.CHOOSEROWS(H$53:H$76,D50)</f>
        <v>Januar 2025</v>
      </c>
      <c r="F50" s="176"/>
      <c r="G50" s="25">
        <f>G48*4-4+1</f>
        <v>33</v>
      </c>
      <c r="H50" s="176" t="str">
        <f t="shared" si="40"/>
        <v>p.ManFirstName10</v>
      </c>
      <c r="I50" s="25" t="str">
        <f t="shared" si="40"/>
        <v>p.AHVNumber36</v>
      </c>
      <c r="J50" s="176" t="str">
        <f t="shared" si="40"/>
        <v>p.BirthdayKid10</v>
      </c>
      <c r="L50" s="176"/>
      <c r="N50" s="176"/>
      <c r="P50" s="176"/>
      <c r="S50" s="176"/>
      <c r="U50" s="176"/>
      <c r="AI50" s="25" t="e">
        <f>AH50/(#REF!)</f>
        <v>#REF!</v>
      </c>
      <c r="AK50" s="5" t="e">
        <f>AJ50/(#REF!)</f>
        <v>#REF!</v>
      </c>
      <c r="AM50" s="25" t="e">
        <f>AL50/(#REF!)</f>
        <v>#REF!</v>
      </c>
    </row>
    <row r="51" spans="1:39" s="25" customFormat="1" ht="17.25" customHeight="1">
      <c r="A51" s="173"/>
      <c r="B51" s="174"/>
      <c r="C51" s="175"/>
      <c r="D51" s="25">
        <f t="shared" ca="1" si="39"/>
        <v>17</v>
      </c>
      <c r="E51" s="182" t="str">
        <f t="array" aca="1" ref="E51" ca="1">_xlfn.CHOOSEROWS(G$53:G$76,D51)&amp;" "&amp;_xlfn.CHOOSEROWS(H$53:H$76,D51)</f>
        <v>Februar 2025</v>
      </c>
      <c r="F51" s="176"/>
      <c r="H51" s="176"/>
      <c r="J51" s="176"/>
      <c r="L51" s="176"/>
      <c r="N51" s="176"/>
      <c r="P51" s="176"/>
      <c r="S51" s="176"/>
      <c r="U51" s="176"/>
      <c r="AK51" s="5"/>
    </row>
    <row r="52" spans="1:39" s="25" customFormat="1" ht="17.25" customHeight="1">
      <c r="A52" s="173"/>
      <c r="B52" s="174"/>
      <c r="C52" s="175"/>
      <c r="E52" s="182"/>
      <c r="F52" s="176"/>
      <c r="H52" s="176"/>
      <c r="J52" s="176"/>
      <c r="L52" s="176"/>
      <c r="N52" s="176"/>
      <c r="P52" s="176"/>
      <c r="S52" s="176"/>
      <c r="U52" s="176"/>
      <c r="AK52" s="5"/>
    </row>
    <row r="53" spans="1:39" s="25" customFormat="1" ht="17.25" customHeight="1">
      <c r="A53" s="173"/>
      <c r="B53" s="174"/>
      <c r="C53" s="175"/>
      <c r="D53" s="25">
        <v>10</v>
      </c>
      <c r="E53" s="182">
        <f t="array" ref="E53">_xlfn.CHOOSEROWS(H56:H79,D53)</f>
        <v>0</v>
      </c>
      <c r="F53" s="176"/>
      <c r="H53" s="176"/>
      <c r="J53" s="176"/>
      <c r="L53" s="176"/>
      <c r="N53" s="176"/>
      <c r="P53" s="176"/>
      <c r="S53" s="176"/>
      <c r="U53" s="176"/>
      <c r="AK53" s="5"/>
    </row>
    <row r="54" spans="1:39" s="25" customFormat="1" ht="17.25" customHeight="1">
      <c r="A54" s="173"/>
      <c r="B54" s="174"/>
      <c r="C54" s="175"/>
      <c r="E54" s="182"/>
      <c r="F54" s="176"/>
      <c r="H54" s="176"/>
      <c r="J54" s="176"/>
      <c r="L54" s="176"/>
      <c r="N54" s="176"/>
      <c r="P54" s="176"/>
      <c r="S54" s="176"/>
      <c r="U54" s="176"/>
      <c r="AK54" s="5"/>
    </row>
    <row r="55" spans="1:39" s="25" customFormat="1" ht="17.25" customHeight="1">
      <c r="A55" s="173"/>
      <c r="B55" s="174"/>
      <c r="C55" s="175"/>
      <c r="E55" s="182"/>
      <c r="F55" s="176"/>
      <c r="H55" s="176"/>
      <c r="J55" s="176"/>
      <c r="L55" s="176"/>
      <c r="N55" s="176"/>
      <c r="P55" s="176"/>
      <c r="S55" s="176"/>
      <c r="U55" s="176"/>
      <c r="AK55" s="5"/>
    </row>
    <row r="56" spans="1:39" s="25" customFormat="1" ht="17.25" customHeight="1">
      <c r="A56" s="173"/>
      <c r="B56" s="174"/>
      <c r="C56" s="175"/>
      <c r="D56" s="25">
        <f ca="1">MONTH(TODAY())</f>
        <v>11</v>
      </c>
      <c r="E56" s="182" t="str">
        <f t="array" aca="1" ref="E56" ca="1">_xlfn.CHOOSEROWS(G$68:G$91,D56)&amp;" "&amp;_xlfn.CHOOSEROWS(H$68:H$91,D56)</f>
        <v>November 2025</v>
      </c>
      <c r="F56" s="176"/>
      <c r="H56" s="176"/>
      <c r="J56" s="176"/>
      <c r="L56" s="176"/>
      <c r="N56" s="176"/>
      <c r="P56" s="176"/>
      <c r="Q56" s="25" t="str">
        <f ca="1">TEXT(TEXT(TODAY()-3,"DD")&amp;"."&amp;TEXT(TODAY()-3,"MM")&amp;"."&amp;TEXT(TODAY()-3,"YYYY"),"DD.MM.YYYY")</f>
        <v>02.11.2025</v>
      </c>
      <c r="S56" s="176"/>
      <c r="U56" s="176"/>
      <c r="AK56" s="5"/>
    </row>
    <row r="57" spans="1:39" s="25" customFormat="1" ht="17.25" customHeight="1">
      <c r="A57" s="173"/>
      <c r="B57" s="174"/>
      <c r="C57" s="175"/>
      <c r="D57" s="25">
        <f ca="1">D56+1</f>
        <v>12</v>
      </c>
      <c r="E57" s="182" t="str">
        <f t="array" aca="1" ref="E57" ca="1">_xlfn.CHOOSEROWS(G$68:G$91,D57)&amp;" "&amp;_xlfn.CHOOSEROWS(H$68:H$91,D57)</f>
        <v>Dezember 2025</v>
      </c>
      <c r="F57" s="176"/>
      <c r="H57" s="176"/>
      <c r="J57" s="176"/>
      <c r="L57" s="176"/>
      <c r="N57" s="176"/>
      <c r="P57" s="176"/>
      <c r="S57" s="176"/>
      <c r="U57" s="176"/>
      <c r="AK57" s="5"/>
    </row>
    <row r="58" spans="1:39" s="25" customFormat="1" ht="17.25" customHeight="1">
      <c r="A58" s="173"/>
      <c r="B58" s="174"/>
      <c r="C58" s="175"/>
      <c r="D58" s="25">
        <f t="shared" ref="D58:D66" ca="1" si="41">D57+1</f>
        <v>13</v>
      </c>
      <c r="E58" s="175" t="str">
        <f t="array" aca="1" ref="E58" ca="1">_xlfn.CHOOSEROWS(G$68:G$91,D58)&amp;" "&amp;_xlfn.CHOOSEROWS(H$68:H$91,D58)</f>
        <v>Januar 2026</v>
      </c>
      <c r="F58" s="176"/>
      <c r="H58" s="176"/>
      <c r="J58" s="176"/>
      <c r="L58" s="176"/>
      <c r="N58" s="176"/>
      <c r="P58" s="176"/>
      <c r="S58" s="176"/>
      <c r="U58" s="176"/>
      <c r="AK58" s="5"/>
    </row>
    <row r="59" spans="1:39" s="25" customFormat="1" ht="17.25" customHeight="1">
      <c r="A59" s="173"/>
      <c r="B59" s="174"/>
      <c r="C59" s="175"/>
      <c r="D59" s="25">
        <f t="shared" ca="1" si="41"/>
        <v>14</v>
      </c>
      <c r="E59" s="175" t="str">
        <f t="array" aca="1" ref="E59" ca="1">_xlfn.CHOOSEROWS(G$68:G$91,D59)&amp;" "&amp;_xlfn.CHOOSEROWS(H$68:H$91,D59)</f>
        <v>Februar 2026</v>
      </c>
      <c r="F59" s="176"/>
      <c r="H59" s="176"/>
      <c r="J59" s="176"/>
      <c r="L59" s="176"/>
      <c r="N59" s="176"/>
      <c r="P59" s="176"/>
      <c r="S59" s="176"/>
      <c r="U59" s="176"/>
      <c r="AK59" s="5"/>
    </row>
    <row r="60" spans="1:39" s="25" customFormat="1" ht="17.25" customHeight="1">
      <c r="A60" s="173"/>
      <c r="B60" s="174"/>
      <c r="C60" s="175"/>
      <c r="D60" s="25">
        <f t="shared" ca="1" si="41"/>
        <v>15</v>
      </c>
      <c r="E60" s="175" t="str">
        <f t="array" aca="1" ref="E60" ca="1">_xlfn.CHOOSEROWS(G$68:G$91,D60)&amp;" "&amp;_xlfn.CHOOSEROWS(H$68:H$91,D60)</f>
        <v>März 2026</v>
      </c>
      <c r="F60" s="176"/>
      <c r="H60" s="176"/>
      <c r="J60" s="176"/>
      <c r="L60" s="176"/>
      <c r="N60" s="176"/>
      <c r="P60" s="176"/>
      <c r="S60" s="176"/>
      <c r="U60" s="176"/>
      <c r="AK60" s="5"/>
    </row>
    <row r="61" spans="1:39" s="25" customFormat="1" ht="17.25" customHeight="1">
      <c r="A61" s="173"/>
      <c r="B61" s="174"/>
      <c r="C61" s="175"/>
      <c r="D61" s="25">
        <f t="shared" ca="1" si="41"/>
        <v>16</v>
      </c>
      <c r="E61" s="175" t="str">
        <f t="array" aca="1" ref="E61" ca="1">_xlfn.CHOOSEROWS(G$68:G$91,D61)&amp;" "&amp;_xlfn.CHOOSEROWS(H$68:H$91,D61)</f>
        <v>April 2026</v>
      </c>
      <c r="F61" s="176"/>
      <c r="H61" s="176"/>
      <c r="J61" s="176"/>
      <c r="L61" s="176"/>
      <c r="N61" s="176"/>
      <c r="P61" s="176"/>
      <c r="S61" s="176"/>
      <c r="U61" s="176"/>
      <c r="AK61" s="5"/>
    </row>
    <row r="62" spans="1:39" s="25" customFormat="1" ht="17.25" customHeight="1">
      <c r="A62" s="173"/>
      <c r="B62" s="174"/>
      <c r="C62" s="175"/>
      <c r="D62" s="25">
        <f t="shared" ca="1" si="41"/>
        <v>17</v>
      </c>
      <c r="E62" s="175" t="str">
        <f t="array" aca="1" ref="E62" ca="1">_xlfn.CHOOSEROWS(G$68:G$91,D62)&amp;" "&amp;_xlfn.CHOOSEROWS(H$68:H$91,D62)</f>
        <v>Mai 2026</v>
      </c>
      <c r="F62" s="176"/>
      <c r="H62" s="176"/>
      <c r="J62" s="176"/>
      <c r="L62" s="176"/>
      <c r="N62" s="176"/>
      <c r="P62" s="176"/>
      <c r="S62" s="176"/>
      <c r="U62" s="176"/>
      <c r="AK62" s="5"/>
    </row>
    <row r="63" spans="1:39" s="25" customFormat="1" ht="17.25" customHeight="1">
      <c r="A63" s="173"/>
      <c r="B63" s="174"/>
      <c r="C63" s="175"/>
      <c r="D63" s="25">
        <f t="shared" ca="1" si="41"/>
        <v>18</v>
      </c>
      <c r="E63" s="175" t="str">
        <f t="array" aca="1" ref="E63" ca="1">_xlfn.CHOOSEROWS(G$68:G$91,D63)&amp;" "&amp;_xlfn.CHOOSEROWS(H$68:H$91,D63)</f>
        <v>Juni 2026</v>
      </c>
      <c r="F63" s="176"/>
      <c r="H63" s="176"/>
      <c r="J63" s="176"/>
      <c r="L63" s="176"/>
      <c r="N63" s="176"/>
      <c r="P63" s="176"/>
      <c r="S63" s="176"/>
      <c r="U63" s="176"/>
      <c r="AK63" s="5"/>
    </row>
    <row r="64" spans="1:39" s="25" customFormat="1" ht="17.25" customHeight="1">
      <c r="A64" s="173"/>
      <c r="B64" s="174"/>
      <c r="C64" s="175"/>
      <c r="D64" s="25">
        <f t="shared" ca="1" si="41"/>
        <v>19</v>
      </c>
      <c r="E64" s="175" t="str">
        <f t="array" aca="1" ref="E64" ca="1">_xlfn.CHOOSEROWS(G$68:G$91,D64)&amp;" "&amp;_xlfn.CHOOSEROWS(H$68:H$91,D64)</f>
        <v>Juli 2026</v>
      </c>
      <c r="F64" s="176"/>
      <c r="H64" s="176"/>
      <c r="J64" s="176"/>
      <c r="L64" s="176"/>
      <c r="N64" s="176"/>
      <c r="P64" s="176"/>
      <c r="S64" s="176"/>
      <c r="U64" s="176"/>
      <c r="AK64" s="5"/>
    </row>
    <row r="65" spans="1:37" s="25" customFormat="1" ht="17.25" customHeight="1">
      <c r="A65" s="173"/>
      <c r="B65" s="174"/>
      <c r="C65" s="175"/>
      <c r="D65" s="25">
        <f t="shared" ca="1" si="41"/>
        <v>20</v>
      </c>
      <c r="E65" s="84" t="str">
        <f t="array" aca="1" ref="E65" ca="1">_xlfn.CHOOSEROWS(G$68:G$91,D65)&amp;" "&amp;_xlfn.CHOOSEROWS(H$68:H$91,D65)</f>
        <v>August 2026</v>
      </c>
      <c r="F65" s="182"/>
      <c r="G65" s="176"/>
      <c r="H65" s="84"/>
      <c r="I65" s="176"/>
      <c r="J65" s="176"/>
      <c r="L65" s="176"/>
      <c r="N65" s="176"/>
      <c r="P65" s="176"/>
      <c r="S65" s="176"/>
      <c r="U65" s="176"/>
      <c r="AK65" s="5"/>
    </row>
    <row r="66" spans="1:37" s="25" customFormat="1" ht="17.25" customHeight="1">
      <c r="A66" s="173"/>
      <c r="B66" s="174"/>
      <c r="C66" s="175"/>
      <c r="D66" s="25">
        <f t="shared" ca="1" si="41"/>
        <v>21</v>
      </c>
      <c r="E66" s="84" t="str">
        <f t="array" aca="1" ref="E66" ca="1">_xlfn.CHOOSEROWS(G$68:G$91,D66)&amp;" "&amp;_xlfn.CHOOSEROWS(H$68:H$91,D66)</f>
        <v>September 2026</v>
      </c>
      <c r="F66" s="182"/>
      <c r="G66" s="176"/>
      <c r="H66" s="84"/>
      <c r="I66" s="176"/>
      <c r="J66" s="176"/>
      <c r="L66" s="176"/>
      <c r="N66" s="176"/>
      <c r="P66" s="176"/>
      <c r="S66" s="176"/>
      <c r="U66" s="176"/>
      <c r="AK66" s="5"/>
    </row>
    <row r="67" spans="1:37" s="25" customFormat="1" ht="17.25" customHeight="1">
      <c r="A67" s="173"/>
      <c r="B67" s="174"/>
      <c r="C67" s="175"/>
      <c r="D67" s="25">
        <f ca="1">D66+1</f>
        <v>22</v>
      </c>
      <c r="E67" s="84" t="str">
        <f t="array" aca="1" ref="E67" ca="1">_xlfn.CHOOSEROWS(G$68:G$91,D67)&amp;" "&amp;_xlfn.CHOOSEROWS(H$68:H$91,D67)</f>
        <v>Oktober 2026</v>
      </c>
      <c r="F67" s="182"/>
      <c r="G67" s="176"/>
      <c r="H67" s="84"/>
      <c r="I67" s="176"/>
      <c r="J67" s="176"/>
      <c r="L67" s="176"/>
      <c r="N67" s="176"/>
      <c r="P67" s="176"/>
      <c r="S67" s="176"/>
      <c r="U67" s="176"/>
      <c r="AK67" s="5"/>
    </row>
    <row r="68" spans="1:37" s="25" customFormat="1" ht="17.25" customHeight="1">
      <c r="A68" s="173"/>
      <c r="B68" s="174"/>
      <c r="C68" s="175"/>
      <c r="E68" s="84"/>
      <c r="F68" s="182">
        <v>1</v>
      </c>
      <c r="G68" s="176" t="s">
        <v>219</v>
      </c>
      <c r="H68" s="84">
        <v>2025</v>
      </c>
      <c r="I68" s="176"/>
      <c r="J68" s="176"/>
      <c r="L68" s="176"/>
      <c r="N68" s="176"/>
      <c r="P68" s="176"/>
      <c r="S68" s="176"/>
      <c r="U68" s="176"/>
      <c r="AK68" s="5"/>
    </row>
    <row r="69" spans="1:37" s="25" customFormat="1" ht="17.25" customHeight="1">
      <c r="A69" s="173"/>
      <c r="B69" s="174"/>
      <c r="C69" s="175"/>
      <c r="E69" s="84"/>
      <c r="F69" s="182">
        <v>2</v>
      </c>
      <c r="G69" s="176" t="s">
        <v>220</v>
      </c>
      <c r="H69" s="84">
        <v>2025</v>
      </c>
      <c r="I69" s="176"/>
      <c r="J69" s="176"/>
      <c r="L69" s="176"/>
      <c r="N69" s="176"/>
      <c r="P69" s="176"/>
      <c r="S69" s="176"/>
      <c r="U69" s="176"/>
      <c r="AK69" s="5"/>
    </row>
    <row r="70" spans="1:37" s="25" customFormat="1" ht="17.25" customHeight="1">
      <c r="A70" s="173"/>
      <c r="B70" s="174"/>
      <c r="C70" s="175"/>
      <c r="E70" s="84"/>
      <c r="F70" s="182">
        <v>3</v>
      </c>
      <c r="G70" s="176" t="s">
        <v>221</v>
      </c>
      <c r="H70" s="84">
        <v>2025</v>
      </c>
      <c r="I70" s="176"/>
      <c r="J70" s="176"/>
      <c r="L70" s="176"/>
      <c r="N70" s="176"/>
      <c r="P70" s="176"/>
      <c r="R70" s="176"/>
      <c r="T70" s="176"/>
      <c r="V70" s="176"/>
      <c r="AK70" s="5"/>
    </row>
    <row r="71" spans="1:37" s="25" customFormat="1" ht="17.25" customHeight="1">
      <c r="A71" s="173"/>
      <c r="B71" s="174"/>
      <c r="C71" s="175"/>
      <c r="E71" s="84"/>
      <c r="F71" s="182">
        <v>4</v>
      </c>
      <c r="G71" s="176" t="s">
        <v>222</v>
      </c>
      <c r="H71" s="84">
        <v>2025</v>
      </c>
      <c r="I71" s="176"/>
      <c r="J71" s="176"/>
      <c r="L71" s="176"/>
      <c r="N71" s="176"/>
      <c r="P71" s="176"/>
      <c r="R71" s="176"/>
      <c r="T71" s="176"/>
      <c r="V71" s="176"/>
      <c r="AK71" s="5"/>
    </row>
    <row r="72" spans="1:37" s="25" customFormat="1" ht="17.25" customHeight="1">
      <c r="A72" s="173"/>
      <c r="B72" s="174"/>
      <c r="C72" s="175"/>
      <c r="E72" s="84"/>
      <c r="F72" s="182">
        <v>5</v>
      </c>
      <c r="G72" s="176" t="s">
        <v>223</v>
      </c>
      <c r="H72" s="84">
        <v>2025</v>
      </c>
      <c r="I72" s="176"/>
      <c r="J72" s="176"/>
      <c r="L72" s="176"/>
      <c r="N72" s="176"/>
      <c r="P72" s="176"/>
      <c r="R72" s="176"/>
      <c r="T72" s="176"/>
      <c r="V72" s="176"/>
      <c r="AK72" s="5"/>
    </row>
    <row r="73" spans="1:37" s="25" customFormat="1" ht="17.25" customHeight="1">
      <c r="A73" s="173"/>
      <c r="B73" s="174"/>
      <c r="C73" s="175"/>
      <c r="E73" s="84"/>
      <c r="F73" s="182">
        <v>6</v>
      </c>
      <c r="G73" s="176" t="s">
        <v>224</v>
      </c>
      <c r="H73" s="84">
        <v>2025</v>
      </c>
      <c r="I73" s="176"/>
      <c r="J73" s="176"/>
      <c r="L73" s="176"/>
      <c r="N73" s="176"/>
      <c r="P73" s="176"/>
      <c r="R73" s="176"/>
      <c r="T73" s="176"/>
      <c r="V73" s="176"/>
      <c r="AK73" s="5"/>
    </row>
    <row r="74" spans="1:37" s="25" customFormat="1" ht="17.25" customHeight="1">
      <c r="A74" s="173"/>
      <c r="B74" s="174"/>
      <c r="C74" s="175"/>
      <c r="E74" s="84"/>
      <c r="F74" s="175">
        <v>7</v>
      </c>
      <c r="G74" s="176" t="s">
        <v>225</v>
      </c>
      <c r="H74" s="84">
        <v>2025</v>
      </c>
      <c r="I74" s="176"/>
      <c r="J74" s="176"/>
      <c r="L74" s="176"/>
      <c r="N74" s="176"/>
      <c r="P74" s="176"/>
      <c r="R74" s="176"/>
      <c r="T74" s="176"/>
      <c r="V74" s="176"/>
      <c r="AK74" s="5"/>
    </row>
    <row r="75" spans="1:37" s="25" customFormat="1" ht="17.25" customHeight="1">
      <c r="A75" s="173"/>
      <c r="B75" s="174"/>
      <c r="C75" s="175"/>
      <c r="E75" s="84"/>
      <c r="F75" s="175">
        <v>8</v>
      </c>
      <c r="G75" s="176" t="s">
        <v>226</v>
      </c>
      <c r="H75" s="84">
        <v>2025</v>
      </c>
      <c r="I75" s="176"/>
      <c r="J75" s="176"/>
      <c r="L75" s="176"/>
      <c r="N75" s="176"/>
      <c r="P75" s="176"/>
      <c r="R75" s="176"/>
      <c r="T75" s="176"/>
      <c r="V75" s="176"/>
      <c r="AK75" s="5"/>
    </row>
    <row r="76" spans="1:37" s="25" customFormat="1" ht="17.25" customHeight="1">
      <c r="A76" s="173"/>
      <c r="B76" s="174"/>
      <c r="C76" s="175"/>
      <c r="E76" s="84"/>
      <c r="F76" s="175">
        <v>9</v>
      </c>
      <c r="G76" s="176" t="s">
        <v>227</v>
      </c>
      <c r="H76" s="84">
        <v>2025</v>
      </c>
      <c r="I76" s="176"/>
      <c r="J76" s="176"/>
      <c r="L76" s="176"/>
      <c r="N76" s="176"/>
      <c r="P76" s="176"/>
      <c r="R76" s="176"/>
      <c r="T76" s="176"/>
      <c r="V76" s="176"/>
      <c r="AK76" s="5"/>
    </row>
    <row r="77" spans="1:37" s="25" customFormat="1" ht="17.25" customHeight="1">
      <c r="A77" s="173"/>
      <c r="B77" s="174"/>
      <c r="C77" s="175"/>
      <c r="E77" s="84"/>
      <c r="F77" s="175">
        <v>10</v>
      </c>
      <c r="G77" s="176" t="s">
        <v>228</v>
      </c>
      <c r="H77" s="84">
        <v>2025</v>
      </c>
      <c r="I77" s="176"/>
      <c r="J77" s="176"/>
      <c r="L77" s="176"/>
      <c r="N77" s="176"/>
      <c r="P77" s="176"/>
      <c r="R77" s="176"/>
      <c r="T77" s="176"/>
      <c r="V77" s="176"/>
      <c r="AK77" s="5"/>
    </row>
    <row r="78" spans="1:37" s="25" customFormat="1" ht="17.25" customHeight="1">
      <c r="A78" s="173"/>
      <c r="B78" s="174"/>
      <c r="C78" s="175"/>
      <c r="E78" s="84"/>
      <c r="F78" s="175">
        <v>11</v>
      </c>
      <c r="G78" s="176" t="s">
        <v>229</v>
      </c>
      <c r="H78" s="84">
        <v>2025</v>
      </c>
      <c r="I78" s="176"/>
      <c r="J78" s="176"/>
      <c r="L78" s="176"/>
      <c r="N78" s="176"/>
      <c r="P78" s="176"/>
      <c r="R78" s="176"/>
      <c r="T78" s="176"/>
      <c r="V78" s="176"/>
      <c r="AK78" s="5"/>
    </row>
    <row r="79" spans="1:37" s="25" customFormat="1" ht="17.25" customHeight="1">
      <c r="A79" s="173"/>
      <c r="B79" s="174"/>
      <c r="C79" s="175"/>
      <c r="E79" s="84"/>
      <c r="F79" s="175">
        <v>12</v>
      </c>
      <c r="G79" s="176" t="s">
        <v>230</v>
      </c>
      <c r="H79" s="84">
        <v>2025</v>
      </c>
      <c r="I79" s="176"/>
      <c r="J79" s="176"/>
      <c r="L79" s="176"/>
      <c r="N79" s="176"/>
      <c r="P79" s="176"/>
      <c r="R79" s="176"/>
      <c r="T79" s="176"/>
      <c r="V79" s="176"/>
      <c r="AK79" s="5"/>
    </row>
    <row r="80" spans="1:37" s="25" customFormat="1" ht="17.25" customHeight="1">
      <c r="A80" s="173"/>
      <c r="B80" s="174"/>
      <c r="C80" s="175"/>
      <c r="E80" s="84"/>
      <c r="F80" s="175">
        <v>13</v>
      </c>
      <c r="G80" s="176" t="s">
        <v>219</v>
      </c>
      <c r="H80" s="84">
        <v>2026</v>
      </c>
      <c r="I80" s="176"/>
      <c r="J80" s="176"/>
      <c r="L80" s="176"/>
      <c r="N80" s="176"/>
      <c r="P80" s="176"/>
      <c r="R80" s="176"/>
      <c r="T80" s="176"/>
      <c r="V80" s="176"/>
      <c r="AK80" s="5"/>
    </row>
    <row r="81" spans="1:37" s="25" customFormat="1" ht="17.25" customHeight="1">
      <c r="A81" s="173"/>
      <c r="B81" s="174"/>
      <c r="C81" s="175"/>
      <c r="E81" s="84"/>
      <c r="F81" s="175">
        <v>14</v>
      </c>
      <c r="G81" s="176" t="s">
        <v>220</v>
      </c>
      <c r="H81" s="84">
        <v>2026</v>
      </c>
      <c r="I81" s="176"/>
      <c r="J81" s="176"/>
      <c r="L81" s="176"/>
      <c r="N81" s="176"/>
      <c r="P81" s="176"/>
      <c r="R81" s="176"/>
      <c r="T81" s="176"/>
      <c r="V81" s="176"/>
      <c r="AK81" s="5"/>
    </row>
    <row r="82" spans="1:37" s="25" customFormat="1" ht="17.25" customHeight="1">
      <c r="A82" s="173"/>
      <c r="B82" s="174"/>
      <c r="C82" s="175"/>
      <c r="E82" s="84"/>
      <c r="F82" s="175">
        <v>15</v>
      </c>
      <c r="G82" s="176" t="s">
        <v>221</v>
      </c>
      <c r="H82" s="84">
        <v>2026</v>
      </c>
      <c r="I82" s="176"/>
      <c r="J82" s="176"/>
      <c r="L82" s="176"/>
      <c r="N82" s="176"/>
      <c r="P82" s="176"/>
      <c r="R82" s="176"/>
      <c r="T82" s="176"/>
      <c r="V82" s="176"/>
      <c r="AK82" s="5"/>
    </row>
    <row r="83" spans="1:37" s="25" customFormat="1" ht="17.25" customHeight="1">
      <c r="A83" s="173"/>
      <c r="B83" s="174"/>
      <c r="C83" s="175"/>
      <c r="E83" s="84"/>
      <c r="F83" s="175">
        <v>16</v>
      </c>
      <c r="G83" s="176" t="s">
        <v>222</v>
      </c>
      <c r="H83" s="84">
        <v>2026</v>
      </c>
      <c r="I83" s="176"/>
      <c r="J83" s="176"/>
      <c r="L83" s="176"/>
      <c r="N83" s="176"/>
      <c r="P83" s="176"/>
      <c r="R83" s="176"/>
      <c r="T83" s="176"/>
      <c r="V83" s="176"/>
      <c r="AK83" s="5"/>
    </row>
    <row r="84" spans="1:37" s="25" customFormat="1" ht="17.25" customHeight="1">
      <c r="A84" s="173"/>
      <c r="B84" s="174"/>
      <c r="C84" s="175"/>
      <c r="E84" s="84"/>
      <c r="F84" s="175">
        <v>17</v>
      </c>
      <c r="G84" s="176" t="s">
        <v>223</v>
      </c>
      <c r="H84" s="84">
        <v>2026</v>
      </c>
      <c r="I84" s="176"/>
      <c r="J84" s="176"/>
      <c r="L84" s="176"/>
      <c r="N84" s="176"/>
      <c r="P84" s="176"/>
      <c r="R84" s="176"/>
      <c r="T84" s="176"/>
      <c r="V84" s="176"/>
      <c r="AK84" s="5"/>
    </row>
    <row r="85" spans="1:37" s="25" customFormat="1" ht="17.25" customHeight="1">
      <c r="A85" s="173"/>
      <c r="B85" s="174"/>
      <c r="C85" s="175"/>
      <c r="E85" s="84"/>
      <c r="F85" s="175">
        <v>18</v>
      </c>
      <c r="G85" s="176" t="s">
        <v>224</v>
      </c>
      <c r="H85" s="84">
        <v>2026</v>
      </c>
      <c r="I85" s="176"/>
      <c r="J85" s="176"/>
      <c r="L85" s="176"/>
      <c r="N85" s="176"/>
      <c r="P85" s="176"/>
      <c r="R85" s="176"/>
      <c r="T85" s="176"/>
      <c r="V85" s="176"/>
      <c r="AK85" s="5"/>
    </row>
    <row r="86" spans="1:37" s="25" customFormat="1" ht="17.25" customHeight="1">
      <c r="A86" s="173"/>
      <c r="B86" s="174"/>
      <c r="C86" s="175"/>
      <c r="E86" s="84"/>
      <c r="F86" s="175">
        <v>19</v>
      </c>
      <c r="G86" s="176" t="s">
        <v>225</v>
      </c>
      <c r="H86" s="84">
        <v>2026</v>
      </c>
      <c r="I86" s="176"/>
      <c r="J86" s="176"/>
      <c r="L86" s="176"/>
      <c r="N86" s="176"/>
      <c r="P86" s="176"/>
      <c r="R86" s="176"/>
      <c r="T86" s="176"/>
      <c r="V86" s="176"/>
      <c r="AK86" s="5"/>
    </row>
    <row r="87" spans="1:37" s="25" customFormat="1" ht="17.25" customHeight="1">
      <c r="A87" s="173"/>
      <c r="B87" s="174"/>
      <c r="C87" s="175"/>
      <c r="E87" s="84"/>
      <c r="F87" s="175">
        <v>20</v>
      </c>
      <c r="G87" s="176" t="s">
        <v>226</v>
      </c>
      <c r="H87" s="84">
        <v>2026</v>
      </c>
      <c r="I87" s="176"/>
      <c r="J87" s="176"/>
      <c r="L87" s="176"/>
      <c r="N87" s="176"/>
      <c r="P87" s="176"/>
      <c r="R87" s="176"/>
      <c r="T87" s="176"/>
      <c r="V87" s="176"/>
      <c r="AK87" s="5"/>
    </row>
    <row r="88" spans="1:37" s="25" customFormat="1" ht="17.25" customHeight="1">
      <c r="A88" s="173"/>
      <c r="B88" s="174"/>
      <c r="C88" s="175"/>
      <c r="E88" s="84"/>
      <c r="F88" s="175">
        <v>21</v>
      </c>
      <c r="G88" s="176" t="s">
        <v>227</v>
      </c>
      <c r="H88" s="84">
        <v>2026</v>
      </c>
      <c r="I88" s="176"/>
      <c r="J88" s="176"/>
      <c r="L88" s="176"/>
      <c r="N88" s="176"/>
      <c r="P88" s="176"/>
      <c r="R88" s="176"/>
      <c r="T88" s="176"/>
      <c r="V88" s="176"/>
      <c r="AK88" s="5"/>
    </row>
    <row r="89" spans="1:37" s="25" customFormat="1" ht="17.25" customHeight="1">
      <c r="A89" s="173"/>
      <c r="B89" s="174"/>
      <c r="C89" s="175"/>
      <c r="E89" s="84"/>
      <c r="F89" s="175">
        <v>22</v>
      </c>
      <c r="G89" s="176" t="s">
        <v>228</v>
      </c>
      <c r="H89" s="84">
        <v>2026</v>
      </c>
      <c r="I89" s="176"/>
      <c r="J89" s="176"/>
      <c r="L89" s="176"/>
      <c r="N89" s="176"/>
      <c r="P89" s="176"/>
      <c r="R89" s="176"/>
      <c r="T89" s="176"/>
      <c r="V89" s="176"/>
      <c r="AK89" s="5"/>
    </row>
    <row r="90" spans="1:37" s="25" customFormat="1" ht="17.25" customHeight="1">
      <c r="A90" s="173"/>
      <c r="B90" s="174"/>
      <c r="C90" s="175"/>
      <c r="E90" s="84"/>
      <c r="F90" s="175">
        <v>23</v>
      </c>
      <c r="G90" s="176" t="s">
        <v>229</v>
      </c>
      <c r="H90" s="84">
        <v>2026</v>
      </c>
      <c r="I90" s="176"/>
      <c r="J90" s="176"/>
      <c r="L90" s="176"/>
      <c r="N90" s="176"/>
      <c r="P90" s="176"/>
      <c r="R90" s="176"/>
      <c r="T90" s="176"/>
      <c r="V90" s="176"/>
      <c r="AK90" s="5"/>
    </row>
    <row r="91" spans="1:37" s="25" customFormat="1" ht="17.25" customHeight="1">
      <c r="A91" s="173"/>
      <c r="B91" s="174"/>
      <c r="C91" s="175"/>
      <c r="E91" s="84"/>
      <c r="F91" s="175">
        <v>24</v>
      </c>
      <c r="G91" s="176" t="s">
        <v>230</v>
      </c>
      <c r="H91" s="84">
        <v>2026</v>
      </c>
      <c r="I91" s="176"/>
      <c r="J91" s="176"/>
      <c r="L91" s="176"/>
      <c r="N91" s="176"/>
      <c r="P91" s="176"/>
      <c r="R91" s="176"/>
      <c r="T91" s="176"/>
      <c r="V91" s="176"/>
      <c r="AK91" s="5"/>
    </row>
    <row r="92" spans="1:37" s="25" customFormat="1" ht="17.25" customHeight="1">
      <c r="A92" s="173"/>
      <c r="B92" s="174"/>
      <c r="C92" s="175"/>
      <c r="E92" s="84"/>
      <c r="F92" s="175"/>
      <c r="G92" s="176"/>
      <c r="H92" s="84"/>
      <c r="I92" s="176"/>
      <c r="J92" s="176"/>
      <c r="L92" s="176"/>
      <c r="N92" s="176"/>
      <c r="P92" s="176"/>
      <c r="R92" s="176"/>
      <c r="T92" s="176"/>
      <c r="V92" s="176"/>
      <c r="AK92" s="5"/>
    </row>
    <row r="93" spans="1:37" s="25" customFormat="1" ht="17.25" customHeight="1">
      <c r="A93" s="173"/>
      <c r="B93" s="174"/>
      <c r="C93" s="175"/>
      <c r="E93" s="84"/>
      <c r="F93" s="175"/>
      <c r="G93" s="176"/>
      <c r="H93" s="84"/>
      <c r="I93" s="176"/>
      <c r="J93" s="176"/>
      <c r="L93" s="176"/>
      <c r="N93" s="176"/>
      <c r="P93" s="176"/>
      <c r="R93" s="176"/>
      <c r="T93" s="176"/>
      <c r="V93" s="176"/>
      <c r="AK93" s="5"/>
    </row>
    <row r="94" spans="1:37" s="25" customFormat="1" ht="17.25" customHeight="1">
      <c r="A94" s="173"/>
      <c r="B94" s="174"/>
      <c r="C94" s="175"/>
      <c r="E94" s="84"/>
      <c r="F94" s="175"/>
      <c r="G94" s="176"/>
      <c r="H94" s="84"/>
      <c r="I94" s="176"/>
      <c r="J94" s="176"/>
      <c r="L94" s="176"/>
      <c r="N94" s="176"/>
      <c r="P94" s="176"/>
      <c r="R94" s="176"/>
      <c r="T94" s="176"/>
      <c r="V94" s="176"/>
      <c r="AK94" s="5"/>
    </row>
    <row r="95" spans="1:37" s="25" customFormat="1" ht="17.25" customHeight="1">
      <c r="A95" s="173"/>
      <c r="B95" s="174"/>
      <c r="C95" s="175"/>
      <c r="E95" s="84"/>
      <c r="F95" s="175"/>
      <c r="G95" s="176"/>
      <c r="H95" s="84"/>
      <c r="I95" s="176"/>
      <c r="J95" s="176"/>
      <c r="L95" s="176"/>
      <c r="N95" s="176"/>
      <c r="P95" s="176"/>
      <c r="R95" s="176"/>
      <c r="T95" s="176"/>
      <c r="V95" s="176"/>
      <c r="AK95" s="5"/>
    </row>
    <row r="96" spans="1:37" s="25" customFormat="1" ht="17.25" customHeight="1">
      <c r="A96" s="173"/>
      <c r="B96" s="174"/>
      <c r="C96" s="175"/>
      <c r="E96" s="84"/>
      <c r="F96" s="175"/>
      <c r="G96" s="176">
        <v>22</v>
      </c>
      <c r="H96" s="84" t="s">
        <v>228</v>
      </c>
      <c r="I96" s="176">
        <v>2025</v>
      </c>
      <c r="J96" s="176"/>
      <c r="L96" s="176"/>
      <c r="N96" s="176"/>
      <c r="P96" s="176"/>
      <c r="R96" s="176"/>
      <c r="T96" s="176"/>
      <c r="V96" s="176"/>
      <c r="AK96" s="5"/>
    </row>
    <row r="97" spans="1:37" s="25" customFormat="1" ht="17.25" customHeight="1">
      <c r="A97" s="173"/>
      <c r="B97" s="174"/>
      <c r="C97" s="175"/>
      <c r="E97" s="84"/>
      <c r="F97" s="175"/>
      <c r="G97" s="176">
        <v>23</v>
      </c>
      <c r="H97" s="84" t="s">
        <v>229</v>
      </c>
      <c r="I97" s="176">
        <v>2025</v>
      </c>
      <c r="J97" s="176"/>
      <c r="L97" s="176"/>
      <c r="N97" s="176"/>
      <c r="P97" s="176"/>
      <c r="R97" s="176"/>
      <c r="T97" s="176"/>
      <c r="V97" s="176"/>
      <c r="AK97" s="5"/>
    </row>
    <row r="98" spans="1:37" s="25" customFormat="1" ht="17.25" customHeight="1">
      <c r="A98" s="173"/>
      <c r="B98" s="174"/>
      <c r="C98" s="175"/>
      <c r="E98" s="84"/>
      <c r="F98" s="175"/>
      <c r="G98" s="176">
        <v>24</v>
      </c>
      <c r="H98" s="84" t="s">
        <v>230</v>
      </c>
      <c r="I98" s="176">
        <v>2025</v>
      </c>
      <c r="J98" s="176"/>
      <c r="L98" s="176"/>
      <c r="N98" s="176"/>
      <c r="P98" s="176"/>
      <c r="R98" s="176"/>
      <c r="T98" s="176"/>
      <c r="V98" s="176"/>
      <c r="AK98" s="5"/>
    </row>
    <row r="99" spans="1:37" s="25" customFormat="1" ht="17.25" customHeight="1">
      <c r="A99" s="173"/>
      <c r="B99" s="174"/>
      <c r="C99" s="175"/>
      <c r="E99" s="84"/>
      <c r="F99" s="175"/>
      <c r="G99" s="176"/>
      <c r="H99" s="84"/>
      <c r="I99" s="176"/>
      <c r="J99" s="176"/>
      <c r="L99" s="176"/>
      <c r="N99" s="176"/>
      <c r="P99" s="176"/>
      <c r="R99" s="176"/>
      <c r="T99" s="176"/>
      <c r="V99" s="176"/>
      <c r="AK99" s="5"/>
    </row>
    <row r="100" spans="1:37" s="25" customFormat="1" ht="17.25" customHeight="1">
      <c r="A100" s="173"/>
      <c r="B100" s="174"/>
      <c r="C100" s="175"/>
      <c r="F100" s="175"/>
      <c r="G100" s="176"/>
      <c r="I100" s="176"/>
      <c r="J100" s="176"/>
      <c r="L100" s="176"/>
      <c r="N100" s="176"/>
      <c r="P100" s="176"/>
      <c r="R100" s="176"/>
      <c r="T100" s="176"/>
      <c r="V100" s="176"/>
      <c r="AK100" s="5"/>
    </row>
    <row r="101" spans="1:37" s="25" customFormat="1" ht="17.25" customHeight="1">
      <c r="A101" s="173"/>
      <c r="B101" s="174"/>
      <c r="C101" s="175"/>
      <c r="E101" s="175"/>
      <c r="F101" s="176"/>
      <c r="H101" s="176"/>
      <c r="J101" s="176"/>
      <c r="L101" s="176"/>
      <c r="N101" s="176"/>
      <c r="P101" s="176"/>
      <c r="R101" s="176"/>
      <c r="T101" s="176"/>
      <c r="V101" s="176"/>
      <c r="AK101" s="5"/>
    </row>
    <row r="102" spans="1:37" s="25" customFormat="1" ht="17.25" customHeight="1">
      <c r="A102" s="173"/>
      <c r="B102" s="174"/>
      <c r="C102" s="175"/>
      <c r="E102" s="175"/>
      <c r="F102" s="176"/>
      <c r="H102" s="176"/>
      <c r="J102" s="176"/>
      <c r="L102" s="176"/>
      <c r="N102" s="176"/>
      <c r="P102" s="176"/>
      <c r="R102" s="176"/>
      <c r="T102" s="176"/>
      <c r="V102" s="176"/>
      <c r="AK102" s="5"/>
    </row>
    <row r="103" spans="1:37" s="25" customFormat="1" ht="17.25" customHeight="1">
      <c r="A103" s="173"/>
      <c r="B103" s="174"/>
      <c r="C103" s="175"/>
      <c r="E103" s="175"/>
      <c r="F103" s="176"/>
      <c r="H103" s="176"/>
      <c r="J103" s="176"/>
      <c r="L103" s="176"/>
      <c r="N103" s="176"/>
      <c r="P103" s="176"/>
      <c r="R103" s="176"/>
      <c r="T103" s="176"/>
      <c r="V103" s="176"/>
      <c r="AK103" s="5"/>
    </row>
    <row r="104" spans="1:37" s="25" customFormat="1" ht="17.25" customHeight="1">
      <c r="A104" s="173"/>
      <c r="B104" s="174"/>
      <c r="C104" s="175"/>
      <c r="E104" s="175"/>
      <c r="F104" s="176"/>
      <c r="H104" s="176"/>
      <c r="J104" s="176"/>
      <c r="L104" s="176"/>
      <c r="N104" s="176"/>
      <c r="P104" s="176"/>
      <c r="R104" s="176"/>
      <c r="T104" s="176"/>
      <c r="V104" s="176"/>
      <c r="AK104" s="5"/>
    </row>
    <row r="105" spans="1:37" s="25" customFormat="1" ht="17.25" customHeight="1">
      <c r="A105" s="173"/>
      <c r="B105" s="174"/>
      <c r="C105" s="175"/>
      <c r="E105" s="175"/>
      <c r="F105" s="176"/>
      <c r="H105" s="176"/>
      <c r="J105" s="176"/>
      <c r="L105" s="176"/>
      <c r="N105" s="176"/>
      <c r="P105" s="176"/>
      <c r="R105" s="176"/>
      <c r="T105" s="176"/>
      <c r="V105" s="176"/>
      <c r="AK105" s="5"/>
    </row>
    <row r="106" spans="1:37" s="25" customFormat="1" ht="17.25" customHeight="1">
      <c r="A106" s="173"/>
      <c r="B106" s="174"/>
      <c r="C106" s="175"/>
      <c r="E106" s="175"/>
      <c r="F106" s="176"/>
      <c r="H106" s="176"/>
      <c r="J106" s="176"/>
      <c r="L106" s="176"/>
      <c r="N106" s="176"/>
      <c r="P106" s="176"/>
      <c r="R106" s="176"/>
      <c r="T106" s="176"/>
      <c r="V106" s="176"/>
      <c r="AK106" s="5"/>
    </row>
    <row r="107" spans="1:37" s="25" customFormat="1" ht="17.25" customHeight="1">
      <c r="A107" s="173"/>
      <c r="B107" s="174"/>
      <c r="C107" s="175"/>
      <c r="E107" s="175"/>
      <c r="F107" s="176"/>
      <c r="H107" s="176"/>
      <c r="J107" s="176"/>
      <c r="L107" s="176"/>
      <c r="N107" s="176"/>
      <c r="P107" s="176"/>
      <c r="R107" s="176"/>
      <c r="T107" s="176"/>
      <c r="V107" s="176"/>
      <c r="AK107" s="5"/>
    </row>
    <row r="108" spans="1:37" s="25" customFormat="1" ht="17.25" customHeight="1">
      <c r="A108" s="173"/>
      <c r="B108" s="174"/>
      <c r="C108" s="175"/>
      <c r="E108" s="175"/>
      <c r="F108" s="176"/>
      <c r="H108" s="176"/>
      <c r="J108" s="176"/>
      <c r="L108" s="176"/>
      <c r="N108" s="176"/>
      <c r="P108" s="176"/>
      <c r="R108" s="176"/>
      <c r="T108" s="176"/>
      <c r="V108" s="176"/>
      <c r="AK108" s="5"/>
    </row>
    <row r="109" spans="1:37" s="25" customFormat="1" ht="17.25" customHeight="1">
      <c r="A109" s="173"/>
      <c r="B109" s="174"/>
      <c r="C109" s="175"/>
      <c r="E109" s="175"/>
      <c r="F109" s="176"/>
      <c r="H109" s="176"/>
      <c r="J109" s="176"/>
      <c r="L109" s="176"/>
      <c r="N109" s="176"/>
      <c r="P109" s="176"/>
      <c r="R109" s="176"/>
      <c r="T109" s="176"/>
      <c r="V109" s="176"/>
      <c r="AK109" s="5"/>
    </row>
    <row r="110" spans="1:37" s="25" customFormat="1" ht="17.25" customHeight="1">
      <c r="A110" s="173"/>
      <c r="B110" s="174"/>
      <c r="C110" s="175"/>
      <c r="E110" s="175"/>
      <c r="F110" s="176"/>
      <c r="H110" s="176"/>
      <c r="J110" s="176"/>
      <c r="L110" s="176"/>
      <c r="N110" s="176"/>
      <c r="P110" s="176"/>
      <c r="R110" s="176"/>
      <c r="T110" s="176"/>
      <c r="V110" s="176"/>
      <c r="AK110" s="5"/>
    </row>
    <row r="111" spans="1:37" s="25" customFormat="1" ht="17.25" customHeight="1">
      <c r="A111" s="173"/>
      <c r="B111" s="174"/>
      <c r="C111" s="175"/>
      <c r="E111" s="175"/>
      <c r="F111" s="176"/>
      <c r="H111" s="176"/>
      <c r="J111" s="176"/>
      <c r="L111" s="176"/>
      <c r="N111" s="176"/>
      <c r="P111" s="176"/>
      <c r="R111" s="176"/>
      <c r="T111" s="176"/>
      <c r="V111" s="176"/>
      <c r="AK111" s="5"/>
    </row>
    <row r="112" spans="1:37" s="25" customFormat="1" ht="17.25" customHeight="1">
      <c r="A112" s="173"/>
      <c r="B112" s="174"/>
      <c r="C112" s="175"/>
      <c r="E112" s="175"/>
      <c r="F112" s="176"/>
      <c r="H112" s="176"/>
      <c r="J112" s="176"/>
      <c r="L112" s="176"/>
      <c r="N112" s="176"/>
      <c r="P112" s="176"/>
      <c r="R112" s="176"/>
      <c r="T112" s="176"/>
      <c r="V112" s="176"/>
      <c r="AK112" s="5"/>
    </row>
    <row r="113" spans="1:37" s="25" customFormat="1" ht="17.25" customHeight="1">
      <c r="A113" s="173"/>
      <c r="B113" s="174"/>
      <c r="C113" s="175"/>
      <c r="E113" s="175"/>
      <c r="F113" s="176"/>
      <c r="H113" s="176"/>
      <c r="J113" s="176"/>
      <c r="L113" s="176"/>
      <c r="N113" s="176"/>
      <c r="P113" s="176"/>
      <c r="R113" s="176"/>
      <c r="T113" s="176"/>
      <c r="V113" s="176"/>
      <c r="AK113" s="5"/>
    </row>
    <row r="114" spans="1:37" s="25" customFormat="1" ht="17.25" customHeight="1">
      <c r="A114" s="173"/>
      <c r="B114" s="174"/>
      <c r="C114" s="175"/>
      <c r="E114" s="175"/>
      <c r="F114" s="176"/>
      <c r="H114" s="176"/>
      <c r="J114" s="176"/>
      <c r="L114" s="176"/>
      <c r="N114" s="176"/>
      <c r="P114" s="176"/>
      <c r="R114" s="176"/>
      <c r="T114" s="176"/>
      <c r="V114" s="176"/>
      <c r="AK114" s="5"/>
    </row>
    <row r="115" spans="1:37" s="25" customFormat="1" ht="17.25" customHeight="1">
      <c r="A115" s="173"/>
      <c r="B115" s="174"/>
      <c r="C115" s="175"/>
      <c r="E115" s="175"/>
      <c r="F115" s="176"/>
      <c r="H115" s="176"/>
      <c r="J115" s="176"/>
      <c r="L115" s="176"/>
      <c r="N115" s="176"/>
      <c r="P115" s="176"/>
      <c r="R115" s="176"/>
      <c r="T115" s="176"/>
      <c r="V115" s="176"/>
      <c r="AK115" s="5"/>
    </row>
    <row r="116" spans="1:37" s="25" customFormat="1" ht="17.25" customHeight="1">
      <c r="A116" s="173"/>
      <c r="B116" s="174"/>
      <c r="C116" s="175"/>
      <c r="E116" s="175"/>
      <c r="F116" s="176"/>
      <c r="H116" s="176"/>
      <c r="J116" s="176"/>
      <c r="L116" s="176"/>
      <c r="N116" s="176"/>
      <c r="P116" s="176"/>
      <c r="R116" s="176"/>
      <c r="T116" s="176"/>
      <c r="V116" s="176"/>
      <c r="AK116" s="5"/>
    </row>
    <row r="117" spans="1:37" s="25" customFormat="1" ht="17.25" customHeight="1">
      <c r="A117" s="173"/>
      <c r="B117" s="174"/>
      <c r="C117" s="175"/>
      <c r="E117" s="175"/>
      <c r="F117" s="176"/>
      <c r="H117" s="176"/>
      <c r="J117" s="176"/>
      <c r="L117" s="176"/>
      <c r="N117" s="176"/>
      <c r="P117" s="176"/>
      <c r="R117" s="176"/>
      <c r="T117" s="176"/>
      <c r="V117" s="176"/>
      <c r="AK117" s="5"/>
    </row>
    <row r="118" spans="1:37" s="25" customFormat="1" ht="17.25" customHeight="1">
      <c r="A118" s="173"/>
      <c r="B118" s="174"/>
      <c r="C118" s="175"/>
      <c r="E118" s="175"/>
      <c r="F118" s="176"/>
      <c r="H118" s="176"/>
      <c r="J118" s="176"/>
      <c r="L118" s="176"/>
      <c r="N118" s="176"/>
      <c r="P118" s="176"/>
      <c r="R118" s="176"/>
      <c r="T118" s="176"/>
      <c r="V118" s="176"/>
      <c r="AK118" s="5"/>
    </row>
    <row r="119" spans="1:37" s="25" customFormat="1" ht="17.25" customHeight="1">
      <c r="A119" s="173"/>
      <c r="B119" s="174"/>
      <c r="C119" s="175"/>
      <c r="E119" s="175"/>
      <c r="F119" s="176"/>
      <c r="H119" s="176"/>
      <c r="J119" s="176"/>
      <c r="L119" s="176"/>
      <c r="N119" s="176"/>
      <c r="P119" s="176"/>
      <c r="R119" s="176"/>
      <c r="T119" s="176"/>
      <c r="V119" s="176"/>
      <c r="AK119" s="5"/>
    </row>
    <row r="120" spans="1:37" s="25" customFormat="1" ht="17.25" customHeight="1">
      <c r="A120" s="173"/>
      <c r="B120" s="174"/>
      <c r="C120" s="175"/>
      <c r="E120" s="175"/>
      <c r="F120" s="176"/>
      <c r="H120" s="176"/>
      <c r="J120" s="176"/>
      <c r="L120" s="176"/>
      <c r="N120" s="176"/>
      <c r="P120" s="176"/>
      <c r="R120" s="176"/>
      <c r="T120" s="176"/>
      <c r="V120" s="176"/>
      <c r="AK120" s="5"/>
    </row>
    <row r="121" spans="1:37" s="25" customFormat="1" ht="17.25" customHeight="1">
      <c r="A121" s="173"/>
      <c r="B121" s="174"/>
      <c r="C121" s="175"/>
      <c r="E121" s="175"/>
      <c r="F121" s="176"/>
      <c r="H121" s="176"/>
      <c r="J121" s="176"/>
      <c r="L121" s="176"/>
      <c r="N121" s="176"/>
      <c r="P121" s="176"/>
      <c r="R121" s="176"/>
      <c r="T121" s="176"/>
      <c r="V121" s="176"/>
      <c r="AK121" s="5"/>
    </row>
    <row r="122" spans="1:37" s="25" customFormat="1" ht="17.25" customHeight="1">
      <c r="A122" s="173"/>
      <c r="B122" s="174"/>
      <c r="C122" s="175"/>
      <c r="E122" s="175"/>
      <c r="F122" s="176"/>
      <c r="H122" s="176"/>
      <c r="J122" s="176"/>
      <c r="L122" s="176"/>
      <c r="N122" s="176"/>
      <c r="P122" s="176"/>
      <c r="R122" s="176"/>
      <c r="T122" s="176"/>
      <c r="V122" s="176"/>
      <c r="AK122" s="5"/>
    </row>
    <row r="123" spans="1:37" s="25" customFormat="1" ht="17.25" customHeight="1">
      <c r="A123" s="173"/>
      <c r="B123" s="174"/>
      <c r="C123" s="175"/>
      <c r="E123" s="175"/>
      <c r="F123" s="176"/>
      <c r="H123" s="176"/>
      <c r="J123" s="176"/>
      <c r="L123" s="176"/>
      <c r="N123" s="176"/>
      <c r="P123" s="176"/>
      <c r="R123" s="176"/>
      <c r="T123" s="176"/>
      <c r="V123" s="176"/>
      <c r="AK123" s="5"/>
    </row>
    <row r="124" spans="1:37" s="25" customFormat="1" ht="17.25" customHeight="1">
      <c r="A124" s="173"/>
      <c r="B124" s="174"/>
      <c r="C124" s="175"/>
      <c r="E124" s="175"/>
      <c r="F124" s="176"/>
      <c r="H124" s="176"/>
      <c r="J124" s="176"/>
      <c r="L124" s="176"/>
      <c r="N124" s="176"/>
      <c r="P124" s="176"/>
      <c r="R124" s="176"/>
      <c r="T124" s="176"/>
      <c r="V124" s="176"/>
      <c r="AK124" s="5"/>
    </row>
    <row r="125" spans="1:37" s="25" customFormat="1" ht="17.25" customHeight="1">
      <c r="A125" s="173"/>
      <c r="B125" s="174"/>
      <c r="C125" s="175"/>
      <c r="E125" s="175"/>
      <c r="F125" s="176"/>
      <c r="H125" s="176"/>
      <c r="J125" s="176"/>
      <c r="L125" s="176"/>
      <c r="N125" s="176"/>
      <c r="P125" s="176"/>
      <c r="R125" s="176"/>
      <c r="T125" s="176"/>
      <c r="V125" s="176"/>
      <c r="AK125" s="5"/>
    </row>
    <row r="126" spans="1:37" s="25" customFormat="1" ht="17.25" customHeight="1">
      <c r="A126" s="173"/>
      <c r="B126" s="174"/>
      <c r="C126" s="175"/>
      <c r="E126" s="175"/>
      <c r="F126" s="176"/>
      <c r="H126" s="176"/>
      <c r="J126" s="176"/>
      <c r="L126" s="176"/>
      <c r="N126" s="176"/>
      <c r="P126" s="176"/>
      <c r="R126" s="176"/>
      <c r="T126" s="176"/>
      <c r="V126" s="176"/>
      <c r="AK126" s="5"/>
    </row>
    <row r="127" spans="1:37" s="25" customFormat="1" ht="17.25" customHeight="1">
      <c r="A127" s="173"/>
      <c r="B127" s="174"/>
      <c r="C127" s="175"/>
      <c r="E127" s="175"/>
      <c r="F127" s="176"/>
      <c r="H127" s="176"/>
      <c r="J127" s="176"/>
      <c r="L127" s="176"/>
      <c r="N127" s="176"/>
      <c r="P127" s="176"/>
      <c r="R127" s="176"/>
      <c r="T127" s="176"/>
      <c r="V127" s="176"/>
      <c r="AK127" s="5"/>
    </row>
    <row r="128" spans="1:37" s="25" customFormat="1" ht="17.25" customHeight="1">
      <c r="A128" s="173"/>
      <c r="B128" s="174"/>
      <c r="C128" s="175"/>
      <c r="E128" s="175"/>
      <c r="F128" s="176"/>
      <c r="H128" s="176"/>
      <c r="J128" s="176"/>
      <c r="L128" s="176"/>
      <c r="N128" s="176"/>
      <c r="P128" s="176"/>
      <c r="R128" s="176"/>
      <c r="T128" s="176"/>
      <c r="V128" s="176"/>
      <c r="AK128" s="5"/>
    </row>
    <row r="129" spans="1:37" s="25" customFormat="1" ht="17.25" customHeight="1">
      <c r="A129" s="173"/>
      <c r="B129" s="174"/>
      <c r="C129" s="175"/>
      <c r="E129" s="175"/>
      <c r="F129" s="176"/>
      <c r="H129" s="176"/>
      <c r="J129" s="176"/>
      <c r="L129" s="176"/>
      <c r="N129" s="176"/>
      <c r="P129" s="176"/>
      <c r="R129" s="176"/>
      <c r="T129" s="176"/>
      <c r="V129" s="176"/>
      <c r="AK129" s="5"/>
    </row>
    <row r="130" spans="1:37" s="25" customFormat="1" ht="17.25" customHeight="1">
      <c r="A130" s="173"/>
      <c r="B130" s="174"/>
      <c r="C130" s="175"/>
      <c r="E130" s="175"/>
      <c r="F130" s="176"/>
      <c r="H130" s="176"/>
      <c r="J130" s="176"/>
      <c r="L130" s="176"/>
      <c r="N130" s="176"/>
      <c r="P130" s="176"/>
      <c r="R130" s="176"/>
      <c r="T130" s="176"/>
      <c r="V130" s="176"/>
      <c r="AK130" s="5"/>
    </row>
  </sheetData>
  <conditionalFormatting sqref="AK2:AK133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A6CF-7579-4339-BFDB-79C0729668BE}">
  <sheetPr>
    <tabColor theme="0" tint="-0.499984740745262"/>
  </sheetPr>
  <dimension ref="A1:AL50"/>
  <sheetViews>
    <sheetView zoomScale="70" zoomScaleNormal="70" workbookViewId="0">
      <selection activeCell="H1" sqref="H1"/>
    </sheetView>
  </sheetViews>
  <sheetFormatPr defaultColWidth="9.140625" defaultRowHeight="15"/>
  <cols>
    <col min="2" max="2" width="57.140625" customWidth="1"/>
    <col min="3" max="3" width="135.28515625" style="41" customWidth="1"/>
    <col min="4" max="4" width="8.140625" customWidth="1"/>
    <col min="5" max="5" width="5.85546875" style="41" customWidth="1"/>
    <col min="6" max="6" width="5.85546875" customWidth="1"/>
    <col min="7" max="7" width="11.7109375" customWidth="1"/>
    <col min="8" max="8" width="5.85546875" customWidth="1"/>
    <col min="9" max="10" width="13.42578125" customWidth="1"/>
    <col min="11" max="11" width="28.85546875" customWidth="1"/>
    <col min="12" max="27" width="5.85546875" customWidth="1"/>
    <col min="34" max="34" width="30" customWidth="1"/>
    <col min="35" max="35" width="14.7109375" style="5" customWidth="1"/>
    <col min="36" max="36" width="30" customWidth="1"/>
    <col min="37" max="37" width="14.7109375" style="5" customWidth="1"/>
    <col min="38" max="38" width="20" customWidth="1"/>
  </cols>
  <sheetData>
    <row r="1" spans="1:38" ht="27" customHeight="1">
      <c r="A1" s="33" t="s">
        <v>0</v>
      </c>
      <c r="B1" s="33" t="s">
        <v>1</v>
      </c>
      <c r="C1" s="33" t="s">
        <v>2</v>
      </c>
      <c r="D1" s="85" t="s">
        <v>3</v>
      </c>
      <c r="E1" s="89"/>
      <c r="F1" s="403" t="s">
        <v>4</v>
      </c>
      <c r="G1" s="32">
        <f>5*60*1000*SpeedFaktor</f>
        <v>300000</v>
      </c>
      <c r="H1">
        <v>10</v>
      </c>
      <c r="AG1" t="s">
        <v>5</v>
      </c>
      <c r="AH1" t="s">
        <v>252</v>
      </c>
      <c r="AI1" s="10" t="s">
        <v>8</v>
      </c>
      <c r="AJ1" t="s">
        <v>13</v>
      </c>
      <c r="AK1" s="10" t="s">
        <v>8</v>
      </c>
      <c r="AL1" s="321" t="s">
        <v>377</v>
      </c>
    </row>
    <row r="2" spans="1:38" ht="16.5" customHeight="1">
      <c r="A2" s="27">
        <v>1</v>
      </c>
      <c r="B2" t="s">
        <v>20</v>
      </c>
      <c r="C2" s="94" t="str">
        <f>'07-E2E'!B61</f>
        <v>{"url":p.aventisURL}</v>
      </c>
      <c r="AH2" s="84">
        <v>1388</v>
      </c>
      <c r="AI2" s="16">
        <f>AH2/$AH2</f>
        <v>1</v>
      </c>
      <c r="AJ2" s="84">
        <v>1588</v>
      </c>
      <c r="AK2" s="16">
        <f>AJ2/$AH2</f>
        <v>1.144092219020173</v>
      </c>
      <c r="AL2">
        <v>1812</v>
      </c>
    </row>
    <row r="3" spans="1:38" s="30" customFormat="1" ht="17.25" customHeight="1" thickBot="1">
      <c r="A3" s="27">
        <v>2</v>
      </c>
      <c r="B3" s="28" t="s">
        <v>23</v>
      </c>
      <c r="C3" s="29" t="str">
        <f>E3</f>
        <v>{"username":"bern.sozialarbeiterin1a@diartis.ch","password":"SMze97-jkSJ59!F.","fullname":"Sozialarbeiterin 1A Bern","team":"Sozialarbeit Bern 1"}</v>
      </c>
      <c r="D3" s="41"/>
      <c r="E3" s="29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95" t="s">
        <v>27</v>
      </c>
      <c r="G3" s="41" t="s">
        <v>41</v>
      </c>
      <c r="H3" s="95" t="s">
        <v>29</v>
      </c>
      <c r="I3" s="41" t="s">
        <v>42</v>
      </c>
      <c r="J3" s="95" t="s">
        <v>43</v>
      </c>
      <c r="K3" s="41" t="s">
        <v>44</v>
      </c>
      <c r="L3" s="95" t="s">
        <v>45</v>
      </c>
      <c r="M3" s="41" t="s">
        <v>46</v>
      </c>
      <c r="N3" s="95" t="s">
        <v>34</v>
      </c>
      <c r="O3" s="41"/>
      <c r="P3" s="95"/>
      <c r="Q3" s="41"/>
      <c r="R3" s="95"/>
      <c r="S3" s="41"/>
      <c r="T3" s="95"/>
      <c r="U3" s="41"/>
      <c r="V3" s="95"/>
      <c r="W3" s="41"/>
      <c r="X3" s="41"/>
      <c r="Y3" s="41"/>
      <c r="Z3" s="41"/>
      <c r="AA3" s="41"/>
      <c r="AB3" s="41"/>
      <c r="AC3" s="41"/>
      <c r="AD3" s="41"/>
      <c r="AE3" s="41"/>
      <c r="AF3" s="65"/>
      <c r="AG3" s="41"/>
      <c r="AH3" s="41">
        <v>3012</v>
      </c>
      <c r="AI3" s="41"/>
      <c r="AJ3" s="41">
        <v>3014</v>
      </c>
      <c r="AK3" s="26">
        <f t="shared" ref="AK3" si="0">AJ3/$AH3</f>
        <v>1.00066401062417</v>
      </c>
      <c r="AL3" s="30">
        <v>7915</v>
      </c>
    </row>
    <row r="4" spans="1:38" s="30" customFormat="1" ht="22.5" customHeight="1" thickBot="1">
      <c r="A4" s="27">
        <v>3</v>
      </c>
      <c r="B4" s="183" t="s">
        <v>278</v>
      </c>
      <c r="C4" s="29" t="str">
        <f>E4&amp;F4&amp;G4&amp;H4&amp;I4&amp;J4&amp;K4&amp;L4&amp;M4&amp;N4&amp;O4&amp;P4&amp;Q4&amp;R4&amp;S4</f>
        <v> {"thema":"Ermittlungen","fitlerName":"Sozialarbeiter","fitlerValue":"Yasmin Voser","checkItemsEqualOrMore":4}</v>
      </c>
      <c r="D4" s="41" t="s">
        <v>395</v>
      </c>
      <c r="E4" s="29"/>
      <c r="F4" s="184" t="s">
        <v>279</v>
      </c>
      <c r="G4" s="185" t="s">
        <v>280</v>
      </c>
      <c r="H4" s="41" t="s">
        <v>281</v>
      </c>
      <c r="I4" s="105" t="s">
        <v>282</v>
      </c>
      <c r="J4" s="41" t="s">
        <v>283</v>
      </c>
      <c r="K4" s="105" t="s">
        <v>284</v>
      </c>
      <c r="L4" s="41" t="s">
        <v>285</v>
      </c>
      <c r="M4" s="41">
        <v>4</v>
      </c>
      <c r="N4" s="87" t="s">
        <v>120</v>
      </c>
      <c r="O4" s="86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41">
        <v>11766</v>
      </c>
      <c r="AI4" s="16">
        <f t="shared" ref="AI4:AK4" si="1">AH4/$AH4</f>
        <v>1</v>
      </c>
      <c r="AJ4" s="41">
        <v>14440</v>
      </c>
      <c r="AK4" s="16">
        <f t="shared" si="1"/>
        <v>1.2272650008499064</v>
      </c>
    </row>
    <row r="5" spans="1:38" ht="16.5" customHeight="1">
      <c r="A5" s="27"/>
      <c r="AI5" s="16"/>
      <c r="AK5" s="16"/>
    </row>
    <row r="6" spans="1:38">
      <c r="AI6" s="16"/>
      <c r="AK6" s="16"/>
    </row>
    <row r="7" spans="1:38">
      <c r="AI7" s="16"/>
      <c r="AK7" s="16"/>
    </row>
    <row r="8" spans="1:38">
      <c r="AI8" s="16"/>
      <c r="AK8" s="16"/>
    </row>
    <row r="9" spans="1:38">
      <c r="AI9" s="16"/>
      <c r="AK9" s="16"/>
    </row>
    <row r="10" spans="1:38">
      <c r="AI10" s="16"/>
      <c r="AK10" s="16"/>
    </row>
    <row r="11" spans="1:38">
      <c r="AI11" s="16"/>
      <c r="AK11" s="16"/>
    </row>
    <row r="12" spans="1:38">
      <c r="AI12" s="16"/>
      <c r="AK12" s="16"/>
    </row>
    <row r="13" spans="1:38">
      <c r="AI13" s="16"/>
      <c r="AK13" s="16"/>
    </row>
    <row r="14" spans="1:38">
      <c r="AI14" s="16"/>
      <c r="AK14" s="16"/>
    </row>
    <row r="15" spans="1:38">
      <c r="AI15" s="16"/>
      <c r="AK15" s="16"/>
    </row>
    <row r="16" spans="1:38">
      <c r="E16" s="41">
        <v>2</v>
      </c>
      <c r="AI16" s="16"/>
      <c r="AK16" s="16"/>
    </row>
    <row r="17" spans="35:37">
      <c r="AI17" s="16"/>
      <c r="AK17" s="16"/>
    </row>
    <row r="18" spans="35:37">
      <c r="AI18" s="16"/>
      <c r="AK18" s="16"/>
    </row>
    <row r="19" spans="35:37">
      <c r="AI19" s="16"/>
      <c r="AK19" s="16"/>
    </row>
    <row r="20" spans="35:37">
      <c r="AI20" s="16"/>
      <c r="AK20" s="16"/>
    </row>
    <row r="21" spans="35:37">
      <c r="AI21" s="16"/>
      <c r="AK21" s="16"/>
    </row>
    <row r="22" spans="35:37">
      <c r="AI22" s="16"/>
      <c r="AK22" s="16"/>
    </row>
    <row r="23" spans="35:37">
      <c r="AI23" s="16"/>
      <c r="AK23" s="16"/>
    </row>
    <row r="24" spans="35:37">
      <c r="AI24" s="16"/>
      <c r="AK24" s="16"/>
    </row>
    <row r="25" spans="35:37">
      <c r="AI25" s="16"/>
      <c r="AK25" s="16"/>
    </row>
    <row r="26" spans="35:37">
      <c r="AI26" s="16"/>
      <c r="AK26" s="16"/>
    </row>
    <row r="27" spans="35:37">
      <c r="AI27" s="16"/>
      <c r="AK27" s="16"/>
    </row>
    <row r="28" spans="35:37">
      <c r="AI28" s="16"/>
      <c r="AK28" s="16"/>
    </row>
    <row r="29" spans="35:37">
      <c r="AI29" s="16"/>
      <c r="AK29" s="16"/>
    </row>
    <row r="30" spans="35:37">
      <c r="AI30" s="16"/>
      <c r="AK30" s="16"/>
    </row>
    <row r="31" spans="35:37">
      <c r="AI31" s="16"/>
      <c r="AK31" s="16"/>
    </row>
    <row r="32" spans="35:37">
      <c r="AI32" s="16"/>
      <c r="AK32" s="16"/>
    </row>
    <row r="33" spans="35:37">
      <c r="AI33" s="16"/>
      <c r="AK33" s="16"/>
    </row>
    <row r="34" spans="35:37">
      <c r="AI34" s="16"/>
      <c r="AK34" s="16"/>
    </row>
    <row r="35" spans="35:37">
      <c r="AI35" s="16"/>
      <c r="AK35" s="16"/>
    </row>
    <row r="36" spans="35:37">
      <c r="AI36" s="16"/>
      <c r="AK36" s="16"/>
    </row>
    <row r="37" spans="35:37">
      <c r="AI37" s="16"/>
      <c r="AK37" s="16"/>
    </row>
    <row r="38" spans="35:37">
      <c r="AI38" s="16"/>
      <c r="AK38" s="16"/>
    </row>
    <row r="39" spans="35:37">
      <c r="AI39" s="16"/>
      <c r="AK39" s="16"/>
    </row>
    <row r="40" spans="35:37">
      <c r="AI40" s="16"/>
      <c r="AK40" s="16"/>
    </row>
    <row r="41" spans="35:37">
      <c r="AI41" s="16"/>
      <c r="AK41" s="16"/>
    </row>
    <row r="42" spans="35:37">
      <c r="AI42" s="16"/>
      <c r="AK42" s="16"/>
    </row>
    <row r="43" spans="35:37">
      <c r="AI43" s="26"/>
      <c r="AK43" s="26"/>
    </row>
    <row r="44" spans="35:37">
      <c r="AI44" s="26"/>
      <c r="AK44" s="26"/>
    </row>
    <row r="45" spans="35:37">
      <c r="AI45" s="26"/>
      <c r="AK45" s="26"/>
    </row>
    <row r="46" spans="35:37">
      <c r="AI46" s="26"/>
      <c r="AK46" s="26"/>
    </row>
    <row r="47" spans="35:37">
      <c r="AI47" s="26"/>
      <c r="AK47" s="26"/>
    </row>
    <row r="48" spans="35:37">
      <c r="AI48" s="26"/>
      <c r="AK48" s="26"/>
    </row>
    <row r="49" spans="35:37">
      <c r="AI49" s="26"/>
      <c r="AK49" s="26"/>
    </row>
    <row r="50" spans="35:37">
      <c r="AI50" s="26"/>
      <c r="AK50" s="26"/>
    </row>
  </sheetData>
  <conditionalFormatting sqref="AI2 AK2 AK4:AK42 AI4:AI42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43:AI136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3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43:AK13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F76A-FF8F-4C96-857D-C881A47C9C72}">
  <sheetPr>
    <tabColor rgb="FFFFC000"/>
  </sheetPr>
  <dimension ref="A1:AS48"/>
  <sheetViews>
    <sheetView tabSelected="1" topLeftCell="C1" zoomScale="70" zoomScaleNormal="70" workbookViewId="0">
      <selection activeCell="M4" sqref="M4"/>
    </sheetView>
  </sheetViews>
  <sheetFormatPr defaultColWidth="9.140625" defaultRowHeight="15"/>
  <cols>
    <col min="2" max="2" width="57.140625" customWidth="1"/>
    <col min="3" max="3" width="200.42578125" style="41" customWidth="1"/>
    <col min="4" max="4" width="18.28515625" customWidth="1"/>
    <col min="5" max="5" width="5.85546875" style="41" customWidth="1"/>
    <col min="6" max="6" width="5.85546875" customWidth="1"/>
    <col min="7" max="7" width="20.5703125" customWidth="1"/>
    <col min="8" max="8" width="20.7109375" customWidth="1"/>
    <col min="9" max="9" width="23.85546875" customWidth="1"/>
    <col min="10" max="10" width="17.140625" customWidth="1"/>
    <col min="11" max="11" width="22.7109375" bestFit="1" customWidth="1"/>
    <col min="12" max="12" width="19.85546875" customWidth="1"/>
    <col min="13" max="13" width="23.85546875" bestFit="1" customWidth="1"/>
    <col min="14" max="14" width="21" customWidth="1"/>
    <col min="15" max="15" width="35.42578125" bestFit="1" customWidth="1"/>
    <col min="16" max="27" width="5.85546875" customWidth="1"/>
    <col min="34" max="34" width="30" customWidth="1"/>
    <col min="35" max="35" width="14.7109375" style="5" customWidth="1"/>
    <col min="36" max="36" width="30" customWidth="1"/>
    <col min="37" max="37" width="14.7109375" style="5" customWidth="1"/>
    <col min="38" max="38" width="20" customWidth="1"/>
    <col min="39" max="39" width="50" customWidth="1"/>
    <col min="40" max="40" width="20" customWidth="1"/>
    <col min="41" max="41" width="50" customWidth="1"/>
    <col min="42" max="42" width="20" customWidth="1"/>
    <col min="43" max="43" width="50" customWidth="1"/>
    <col min="44" max="44" width="20" customWidth="1"/>
    <col min="45" max="45" width="50" customWidth="1"/>
  </cols>
  <sheetData>
    <row r="1" spans="1:45" ht="27" customHeight="1">
      <c r="A1" s="33" t="s">
        <v>0</v>
      </c>
      <c r="B1" s="33" t="s">
        <v>1</v>
      </c>
      <c r="C1" s="33" t="s">
        <v>2</v>
      </c>
      <c r="D1" s="85" t="s">
        <v>3</v>
      </c>
      <c r="E1" s="89"/>
      <c r="F1" s="403" t="s">
        <v>4</v>
      </c>
      <c r="G1" s="32">
        <f>1*60*1000*SpeedFaktor</f>
        <v>60000</v>
      </c>
      <c r="H1">
        <v>100</v>
      </c>
      <c r="AG1" t="s">
        <v>5</v>
      </c>
      <c r="AH1" t="s">
        <v>252</v>
      </c>
      <c r="AI1" s="10" t="s">
        <v>8</v>
      </c>
      <c r="AJ1" t="s">
        <v>13</v>
      </c>
      <c r="AK1" s="10" t="s">
        <v>8</v>
      </c>
      <c r="AL1" s="322" t="s">
        <v>377</v>
      </c>
      <c r="AM1" s="323" t="s">
        <v>352</v>
      </c>
      <c r="AN1" s="336" t="s">
        <v>380</v>
      </c>
      <c r="AO1" s="337" t="s">
        <v>352</v>
      </c>
      <c r="AP1" s="354" t="s">
        <v>382</v>
      </c>
      <c r="AQ1" s="355" t="s">
        <v>352</v>
      </c>
      <c r="AR1" s="366" t="s">
        <v>387</v>
      </c>
      <c r="AS1" s="367" t="s">
        <v>352</v>
      </c>
    </row>
    <row r="2" spans="1:45" ht="16.5" customHeight="1">
      <c r="A2" s="27">
        <v>1</v>
      </c>
      <c r="B2" t="s">
        <v>20</v>
      </c>
      <c r="C2" s="94" t="str">
        <f>'07-E2E'!B61</f>
        <v>{"url":p.aventisURL}</v>
      </c>
      <c r="AH2" s="84">
        <v>1388</v>
      </c>
      <c r="AI2" s="16">
        <f>AH2/$AH2</f>
        <v>1</v>
      </c>
      <c r="AJ2" s="84">
        <v>1588</v>
      </c>
      <c r="AK2" s="16">
        <f>AJ2/$AH2</f>
        <v>1.144092219020173</v>
      </c>
      <c r="AL2">
        <v>1218</v>
      </c>
      <c r="AN2">
        <v>1136</v>
      </c>
      <c r="AP2" s="356">
        <v>0</v>
      </c>
      <c r="AQ2" s="357" t="s">
        <v>385</v>
      </c>
      <c r="AR2" s="368">
        <v>0</v>
      </c>
      <c r="AS2" s="369" t="s">
        <v>391</v>
      </c>
    </row>
    <row r="3" spans="1:45" s="30" customFormat="1" ht="17.25" customHeight="1" thickBot="1">
      <c r="A3" s="27">
        <v>2</v>
      </c>
      <c r="B3" s="28" t="s">
        <v>23</v>
      </c>
      <c r="C3" s="29" t="str">
        <f>E3</f>
        <v>{"username":"bern.sozialarbeiterin1a@diartis.ch","password":"SMze97-jkSJ59!F.","fullname":"Sozialarbeiterin 1A Bern","team":"Sozialarbeit Bern 1"}</v>
      </c>
      <c r="D3" s="41"/>
      <c r="E3" s="29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95" t="s">
        <v>27</v>
      </c>
      <c r="G3" s="41" t="s">
        <v>41</v>
      </c>
      <c r="H3" s="95" t="s">
        <v>29</v>
      </c>
      <c r="I3" s="41" t="s">
        <v>42</v>
      </c>
      <c r="J3" s="95" t="s">
        <v>43</v>
      </c>
      <c r="K3" s="41" t="s">
        <v>44</v>
      </c>
      <c r="L3" s="95" t="s">
        <v>45</v>
      </c>
      <c r="M3" s="41" t="s">
        <v>46</v>
      </c>
      <c r="N3" s="95" t="s">
        <v>34</v>
      </c>
      <c r="O3" s="41"/>
      <c r="P3" s="95"/>
      <c r="Q3" s="41"/>
      <c r="R3" s="95"/>
      <c r="S3" s="41"/>
      <c r="T3" s="95"/>
      <c r="U3" s="41"/>
      <c r="V3" s="95"/>
      <c r="W3" s="41"/>
      <c r="X3" s="41"/>
      <c r="Y3" s="41"/>
      <c r="Z3" s="41"/>
      <c r="AA3" s="41"/>
      <c r="AB3" s="41"/>
      <c r="AC3" s="41"/>
      <c r="AD3" s="41"/>
      <c r="AE3" s="41"/>
      <c r="AF3" s="65"/>
      <c r="AG3" s="41"/>
      <c r="AH3" s="41">
        <v>3012</v>
      </c>
      <c r="AI3" s="41"/>
      <c r="AJ3" s="41">
        <v>3014</v>
      </c>
      <c r="AK3" s="26">
        <f t="shared" ref="AK3" si="0">AJ3/$AH3</f>
        <v>1.00066401062417</v>
      </c>
      <c r="AL3" s="30">
        <v>7818</v>
      </c>
      <c r="AN3" s="30">
        <v>7725</v>
      </c>
      <c r="AP3" s="30">
        <v>177</v>
      </c>
      <c r="AR3" s="30">
        <v>544</v>
      </c>
      <c r="AS3" s="30" t="s">
        <v>388</v>
      </c>
    </row>
    <row r="4" spans="1:45" s="30" customFormat="1" ht="41.25" customHeight="1" thickBot="1">
      <c r="A4" s="30">
        <v>3</v>
      </c>
      <c r="B4" s="183" t="s">
        <v>294</v>
      </c>
      <c r="C4" s="29" t="str">
        <f ca="1">E4&amp;F4&amp;G4&amp;H4&amp;I4&amp;J4&amp;K4&amp;L4&amp;M4&amp;N4&amp;O4&amp;P4&amp;Q4&amp;R4&amp;S4&amp;T4&amp;U4</f>
        <v> {"dossier":p.DossierName8,"zugewMitarbeiter":"Bern Sozialarbeiterin 1B","erstelltDurch":"Bern Sachbearbeiterin","status":"","aufGabeTitel":"AA_Aufgabe_45966.362062963_1","datum":"1.11.2026","notiz":"Eine wichtige Notiz durch update"}</v>
      </c>
      <c r="D4" s="29" t="s">
        <v>395</v>
      </c>
      <c r="E4" s="29"/>
      <c r="F4" s="421" t="s">
        <v>254</v>
      </c>
      <c r="G4" s="422" t="str">
        <f>'08-E2E'!G12</f>
        <v>p.DossierName8</v>
      </c>
      <c r="H4" s="29" t="s">
        <v>336</v>
      </c>
      <c r="I4" s="30" t="s">
        <v>323</v>
      </c>
      <c r="J4" s="29" t="s">
        <v>337</v>
      </c>
      <c r="K4" s="29" t="s">
        <v>91</v>
      </c>
      <c r="L4" s="29" t="s">
        <v>247</v>
      </c>
      <c r="M4" s="425"/>
      <c r="N4" s="29" t="s">
        <v>296</v>
      </c>
      <c r="O4" s="423" t="str">
        <f ca="1">'08-E2E'!L37</f>
        <v>AA_Aufgabe_45966.362062963_1</v>
      </c>
      <c r="P4" s="29" t="s">
        <v>251</v>
      </c>
      <c r="Q4" s="424" t="str">
        <f ca="1">'08-E2E'!N37</f>
        <v>1.11.2026</v>
      </c>
      <c r="R4" s="29" t="s">
        <v>297</v>
      </c>
      <c r="S4" s="82" t="s">
        <v>298</v>
      </c>
      <c r="T4" s="82"/>
      <c r="U4" s="82" t="s">
        <v>34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29">
        <v>11766</v>
      </c>
      <c r="AI4" s="191">
        <f t="shared" ref="AI4:AK4" si="1">AH4/$AH4</f>
        <v>1</v>
      </c>
      <c r="AJ4" s="29">
        <v>14440</v>
      </c>
      <c r="AK4" s="191">
        <f t="shared" si="1"/>
        <v>1.2272650008499064</v>
      </c>
      <c r="AL4" s="324">
        <v>0</v>
      </c>
      <c r="AM4" s="325" t="s">
        <v>378</v>
      </c>
      <c r="AN4" s="338">
        <v>0</v>
      </c>
      <c r="AO4" s="339" t="s">
        <v>381</v>
      </c>
    </row>
    <row r="5" spans="1:45">
      <c r="M5" t="s">
        <v>397</v>
      </c>
      <c r="AI5" s="16"/>
      <c r="AK5" s="16"/>
    </row>
    <row r="6" spans="1:45">
      <c r="AI6" s="16"/>
      <c r="AK6" s="16"/>
    </row>
    <row r="7" spans="1:45">
      <c r="M7" s="425" t="s">
        <v>398</v>
      </c>
      <c r="AI7" s="16"/>
      <c r="AK7" s="16"/>
    </row>
    <row r="8" spans="1:45">
      <c r="C8" s="316" t="s">
        <v>376</v>
      </c>
      <c r="AI8" s="16"/>
      <c r="AK8" s="16"/>
    </row>
    <row r="9" spans="1:45">
      <c r="O9" t="s">
        <v>375</v>
      </c>
      <c r="AI9" s="16"/>
      <c r="AK9" s="16"/>
    </row>
    <row r="10" spans="1:45">
      <c r="AI10" s="16"/>
      <c r="AK10" s="16"/>
    </row>
    <row r="11" spans="1:45">
      <c r="AI11" s="16"/>
      <c r="AK11" s="16"/>
    </row>
    <row r="12" spans="1:45">
      <c r="AI12" s="16"/>
      <c r="AK12" s="16"/>
    </row>
    <row r="13" spans="1:45">
      <c r="AI13" s="16"/>
      <c r="AK13" s="16"/>
    </row>
    <row r="14" spans="1:45">
      <c r="AI14" s="16"/>
      <c r="AK14" s="16"/>
    </row>
    <row r="15" spans="1:45">
      <c r="AI15" s="16"/>
      <c r="AK15" s="16"/>
    </row>
    <row r="16" spans="1:45">
      <c r="C16" s="41" t="s">
        <v>386</v>
      </c>
      <c r="E16" s="41">
        <v>2</v>
      </c>
      <c r="AI16" s="16"/>
      <c r="AK16" s="16"/>
    </row>
    <row r="17" spans="3:37">
      <c r="AI17" s="16"/>
      <c r="AK17" s="16"/>
    </row>
    <row r="18" spans="3:37">
      <c r="AI18" s="16"/>
      <c r="AK18" s="16"/>
    </row>
    <row r="19" spans="3:37">
      <c r="AI19" s="16"/>
      <c r="AK19" s="16"/>
    </row>
    <row r="20" spans="3:37">
      <c r="AI20" s="16"/>
      <c r="AK20" s="16"/>
    </row>
    <row r="21" spans="3:37">
      <c r="AI21" s="16"/>
      <c r="AK21" s="16"/>
    </row>
    <row r="22" spans="3:37">
      <c r="AI22" s="16"/>
      <c r="AK22" s="16"/>
    </row>
    <row r="23" spans="3:37">
      <c r="AI23" s="16"/>
      <c r="AK23" s="16"/>
    </row>
    <row r="24" spans="3:37">
      <c r="AI24" s="16"/>
      <c r="AK24" s="16"/>
    </row>
    <row r="25" spans="3:37">
      <c r="AI25" s="16"/>
      <c r="AK25" s="16"/>
    </row>
    <row r="26" spans="3:37">
      <c r="AI26" s="16"/>
      <c r="AK26" s="16"/>
    </row>
    <row r="27" spans="3:37">
      <c r="AI27" s="16"/>
      <c r="AK27" s="16"/>
    </row>
    <row r="28" spans="3:37">
      <c r="AI28" s="16"/>
      <c r="AK28" s="16"/>
    </row>
    <row r="29" spans="3:37">
      <c r="AI29" s="16"/>
      <c r="AK29" s="16"/>
    </row>
    <row r="30" spans="3:37">
      <c r="AI30" s="16"/>
      <c r="AK30" s="16"/>
    </row>
    <row r="31" spans="3:37">
      <c r="AI31" s="16"/>
      <c r="AK31" s="16"/>
    </row>
    <row r="32" spans="3:37">
      <c r="C32" s="41" t="s">
        <v>386</v>
      </c>
      <c r="AI32" s="16"/>
      <c r="AK32" s="16"/>
    </row>
    <row r="33" spans="35:37">
      <c r="AI33" s="16"/>
      <c r="AK33" s="16"/>
    </row>
    <row r="34" spans="35:37">
      <c r="AI34" s="16"/>
      <c r="AK34" s="16"/>
    </row>
    <row r="35" spans="35:37">
      <c r="AI35" s="16"/>
      <c r="AK35" s="16"/>
    </row>
    <row r="36" spans="35:37">
      <c r="AI36" s="16"/>
      <c r="AK36" s="16"/>
    </row>
    <row r="37" spans="35:37">
      <c r="AI37" s="16"/>
      <c r="AK37" s="16"/>
    </row>
    <row r="38" spans="35:37">
      <c r="AI38" s="16"/>
      <c r="AK38" s="16"/>
    </row>
    <row r="39" spans="35:37">
      <c r="AI39" s="16"/>
      <c r="AK39" s="16"/>
    </row>
    <row r="40" spans="35:37">
      <c r="AI40" s="16"/>
      <c r="AK40" s="16"/>
    </row>
    <row r="41" spans="35:37">
      <c r="AI41" s="26"/>
      <c r="AK41" s="26"/>
    </row>
    <row r="42" spans="35:37">
      <c r="AI42" s="26"/>
      <c r="AK42" s="26"/>
    </row>
    <row r="43" spans="35:37">
      <c r="AI43" s="26"/>
      <c r="AK43" s="26"/>
    </row>
    <row r="44" spans="35:37">
      <c r="AI44" s="26"/>
      <c r="AK44" s="26"/>
    </row>
    <row r="45" spans="35:37">
      <c r="AI45" s="26"/>
      <c r="AK45" s="26"/>
    </row>
    <row r="46" spans="35:37">
      <c r="AI46" s="26"/>
      <c r="AK46" s="26"/>
    </row>
    <row r="47" spans="35:37">
      <c r="AI47" s="26"/>
      <c r="AK47" s="26"/>
    </row>
    <row r="48" spans="35:37">
      <c r="AI48" s="26"/>
      <c r="AK48" s="26"/>
    </row>
  </sheetData>
  <conditionalFormatting sqref="AI2 AK2 AK5:AK40 AI5:AI40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4 AK4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41:AI134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3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41:AK134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7946-85AC-494F-9086-06D69131DD7D}">
  <sheetPr>
    <tabColor rgb="FFFF0000"/>
  </sheetPr>
  <dimension ref="A1:AQ48"/>
  <sheetViews>
    <sheetView zoomScale="70" zoomScaleNormal="70" workbookViewId="0">
      <selection activeCell="K4" sqref="K4"/>
    </sheetView>
  </sheetViews>
  <sheetFormatPr defaultColWidth="9.140625" defaultRowHeight="15"/>
  <cols>
    <col min="2" max="2" width="57.140625" customWidth="1"/>
    <col min="3" max="3" width="135.28515625" style="41" customWidth="1"/>
    <col min="4" max="4" width="8.140625" customWidth="1"/>
    <col min="5" max="5" width="5.85546875" style="41" customWidth="1"/>
    <col min="6" max="6" width="5.85546875" customWidth="1"/>
    <col min="7" max="7" width="33.85546875" bestFit="1" customWidth="1"/>
    <col min="8" max="8" width="5.85546875" customWidth="1"/>
    <col min="9" max="10" width="13.42578125" customWidth="1"/>
    <col min="11" max="11" width="28.85546875" customWidth="1"/>
    <col min="12" max="16" width="5.85546875" customWidth="1"/>
    <col min="17" max="17" width="10.7109375" customWidth="1"/>
    <col min="18" max="27" width="5.85546875" customWidth="1"/>
    <col min="34" max="34" width="30" customWidth="1"/>
    <col min="35" max="35" width="14.7109375" style="5" customWidth="1"/>
    <col min="36" max="36" width="30" customWidth="1"/>
    <col min="37" max="37" width="14.7109375" style="5" customWidth="1"/>
    <col min="38" max="38" width="20" customWidth="1"/>
    <col min="39" max="39" width="50" customWidth="1"/>
    <col min="40" max="40" width="20" customWidth="1"/>
    <col min="41" max="41" width="50" customWidth="1"/>
    <col min="42" max="42" width="20" customWidth="1"/>
    <col min="43" max="43" width="50" customWidth="1"/>
  </cols>
  <sheetData>
    <row r="1" spans="1:43" ht="27" customHeight="1">
      <c r="A1" s="33" t="s">
        <v>0</v>
      </c>
      <c r="B1" s="33" t="s">
        <v>1</v>
      </c>
      <c r="C1" s="33" t="s">
        <v>2</v>
      </c>
      <c r="D1" s="85" t="s">
        <v>3</v>
      </c>
      <c r="E1" s="89"/>
      <c r="F1" s="403" t="s">
        <v>4</v>
      </c>
      <c r="G1" s="32">
        <f>1*60*1000*SpeedFaktor</f>
        <v>60000</v>
      </c>
      <c r="H1">
        <v>100</v>
      </c>
      <c r="AG1" t="s">
        <v>5</v>
      </c>
      <c r="AH1" t="s">
        <v>252</v>
      </c>
      <c r="AI1" s="10" t="s">
        <v>8</v>
      </c>
      <c r="AJ1" t="s">
        <v>13</v>
      </c>
      <c r="AK1" s="10" t="s">
        <v>8</v>
      </c>
      <c r="AL1" s="326" t="s">
        <v>377</v>
      </c>
      <c r="AM1" s="327" t="s">
        <v>352</v>
      </c>
      <c r="AN1" s="340" t="s">
        <v>380</v>
      </c>
      <c r="AO1" s="341" t="s">
        <v>352</v>
      </c>
      <c r="AP1" s="370" t="s">
        <v>387</v>
      </c>
      <c r="AQ1" s="371" t="s">
        <v>352</v>
      </c>
    </row>
    <row r="2" spans="1:43" ht="16.5" customHeight="1">
      <c r="A2" s="27">
        <v>1</v>
      </c>
      <c r="B2" t="s">
        <v>20</v>
      </c>
      <c r="C2" s="94" t="str">
        <f>'07-E2E'!B61</f>
        <v>{"url":p.aventisURL}</v>
      </c>
      <c r="AH2" s="84">
        <v>1388</v>
      </c>
      <c r="AI2" s="16">
        <f>AH2/$AH2</f>
        <v>1</v>
      </c>
      <c r="AJ2" s="84">
        <v>1588</v>
      </c>
      <c r="AK2" s="16">
        <f>AJ2/$AH2</f>
        <v>1.144092219020173</v>
      </c>
      <c r="AL2">
        <v>1385</v>
      </c>
      <c r="AN2">
        <v>1408</v>
      </c>
      <c r="AP2" s="372">
        <v>0</v>
      </c>
      <c r="AQ2" s="373" t="s">
        <v>392</v>
      </c>
    </row>
    <row r="3" spans="1:43" s="30" customFormat="1" ht="17.25" customHeight="1" thickBot="1">
      <c r="A3" s="27">
        <v>2</v>
      </c>
      <c r="B3" s="28" t="s">
        <v>23</v>
      </c>
      <c r="C3" s="29" t="str">
        <f>E3</f>
        <v>{"username":"bern.sozialarbeiterin1a@diartis.ch","password":"SMze97-jkSJ59!F.","fullname":"Sozialarbeiterin 1A Bern","team":"Sozialarbeit Bern 1"}</v>
      </c>
      <c r="D3" s="41"/>
      <c r="E3" s="29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95" t="s">
        <v>27</v>
      </c>
      <c r="G3" s="41" t="s">
        <v>41</v>
      </c>
      <c r="H3" s="95" t="s">
        <v>29</v>
      </c>
      <c r="I3" s="41" t="s">
        <v>42</v>
      </c>
      <c r="J3" s="95" t="s">
        <v>43</v>
      </c>
      <c r="K3" s="41" t="s">
        <v>44</v>
      </c>
      <c r="L3" s="95" t="s">
        <v>45</v>
      </c>
      <c r="M3" s="41" t="s">
        <v>46</v>
      </c>
      <c r="N3" s="95" t="s">
        <v>34</v>
      </c>
      <c r="O3" s="41"/>
      <c r="P3" s="95"/>
      <c r="Q3" s="41"/>
      <c r="R3" s="95"/>
      <c r="S3" s="41"/>
      <c r="T3" s="95"/>
      <c r="U3" s="41"/>
      <c r="V3" s="95"/>
      <c r="W3" s="41"/>
      <c r="X3" s="41"/>
      <c r="Y3" s="41"/>
      <c r="Z3" s="41"/>
      <c r="AA3" s="41"/>
      <c r="AB3" s="41"/>
      <c r="AC3" s="41"/>
      <c r="AD3" s="41"/>
      <c r="AE3" s="41"/>
      <c r="AF3" s="65"/>
      <c r="AG3" s="41"/>
      <c r="AH3" s="41">
        <v>3012</v>
      </c>
      <c r="AI3" s="41"/>
      <c r="AJ3" s="41">
        <v>3014</v>
      </c>
      <c r="AK3" s="26">
        <f t="shared" ref="AK3" si="0">AJ3/$AH3</f>
        <v>1.00066401062417</v>
      </c>
      <c r="AL3" s="30">
        <v>8078</v>
      </c>
      <c r="AN3" s="30">
        <v>8128</v>
      </c>
      <c r="AP3" s="30">
        <v>984</v>
      </c>
      <c r="AQ3" s="30" t="s">
        <v>388</v>
      </c>
    </row>
    <row r="4" spans="1:43" s="30" customFormat="1" ht="75.75" customHeight="1" thickBot="1">
      <c r="A4" s="27">
        <v>3</v>
      </c>
      <c r="B4" s="183" t="s">
        <v>396</v>
      </c>
      <c r="C4" s="29" t="str">
        <f ca="1">E4&amp;F4&amp;G4&amp;H4&amp;I4&amp;J4&amp;K4&amp;L4&amp;M4&amp;N4&amp;O4&amp;P4&amp;Q4&amp;R4&amp;S4&amp;T4&amp;U4&amp;V4</f>
        <v>{"dossier":p.DossierName8,"zugewMitarbeiter":"Bern Sozialarbeiterin 1A","erstelltDurch":"Bern Sozialarbeiterin 1B","status":"nicht begonnen,in Arbeit,Erledigt","aufGabeTitel":"AA_Aufgabe_45966.362062963_1","datum":"05.11:2025","dokumentName":"Interinstitutionelle Zusammenarbeit","linkName":"ein wichtiger Link"}</v>
      </c>
      <c r="D4" s="41" t="s">
        <v>395</v>
      </c>
      <c r="E4" s="29"/>
      <c r="F4" s="184" t="s">
        <v>130</v>
      </c>
      <c r="G4" s="185" t="str">
        <f>'08-E2E'!G12</f>
        <v>p.DossierName8</v>
      </c>
      <c r="H4" s="41" t="s">
        <v>336</v>
      </c>
      <c r="I4" s="30" t="s">
        <v>87</v>
      </c>
      <c r="J4" s="41" t="s">
        <v>337</v>
      </c>
      <c r="K4" s="30" t="s">
        <v>323</v>
      </c>
      <c r="L4" s="41" t="s">
        <v>247</v>
      </c>
      <c r="M4" s="41" t="s">
        <v>295</v>
      </c>
      <c r="N4" s="41" t="s">
        <v>296</v>
      </c>
      <c r="O4" s="86" t="str">
        <f ca="1">'08-E2E'!L37</f>
        <v>AA_Aufgabe_45966.362062963_1</v>
      </c>
      <c r="P4" s="41" t="s">
        <v>251</v>
      </c>
      <c r="Q4" s="92" t="str">
        <f ca="1">TEXT(TODAY(),"DD.MM:YYYY")</f>
        <v>05.11:2025</v>
      </c>
      <c r="R4" s="41" t="s">
        <v>300</v>
      </c>
      <c r="S4" s="87" t="s">
        <v>302</v>
      </c>
      <c r="T4" s="41" t="s">
        <v>304</v>
      </c>
      <c r="U4" s="87" t="s">
        <v>305</v>
      </c>
      <c r="V4" s="87" t="s">
        <v>34</v>
      </c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41">
        <v>11766</v>
      </c>
      <c r="AI4" s="16">
        <f t="shared" ref="AI4:AK4" si="1">AH4/$AH4</f>
        <v>1</v>
      </c>
      <c r="AJ4" s="41">
        <v>14440</v>
      </c>
      <c r="AK4" s="16">
        <f t="shared" si="1"/>
        <v>1.2272650008499064</v>
      </c>
    </row>
    <row r="5" spans="1:43">
      <c r="C5" s="41" t="s">
        <v>301</v>
      </c>
      <c r="AI5" s="16"/>
      <c r="AK5" s="16"/>
    </row>
    <row r="6" spans="1:43">
      <c r="AI6" s="16"/>
      <c r="AK6" s="16"/>
    </row>
    <row r="7" spans="1:43">
      <c r="C7" s="41" t="s">
        <v>303</v>
      </c>
      <c r="AI7" s="16"/>
      <c r="AK7" s="16"/>
    </row>
    <row r="8" spans="1:43">
      <c r="AI8" s="16"/>
      <c r="AK8" s="16"/>
    </row>
    <row r="9" spans="1:43">
      <c r="AI9" s="16"/>
      <c r="AK9" s="16"/>
    </row>
    <row r="10" spans="1:43">
      <c r="B10" s="407"/>
      <c r="AI10" s="16"/>
      <c r="AK10" s="16"/>
    </row>
    <row r="11" spans="1:43">
      <c r="AI11" s="16"/>
      <c r="AK11" s="16"/>
    </row>
    <row r="12" spans="1:43">
      <c r="AI12" s="16"/>
      <c r="AK12" s="16"/>
    </row>
    <row r="13" spans="1:43">
      <c r="AI13" s="16"/>
      <c r="AK13" s="16"/>
    </row>
    <row r="14" spans="1:43">
      <c r="AI14" s="16"/>
      <c r="AK14" s="16"/>
    </row>
    <row r="15" spans="1:43">
      <c r="AI15" s="16"/>
      <c r="AK15" s="16"/>
    </row>
    <row r="16" spans="1:43">
      <c r="E16" s="41">
        <v>2</v>
      </c>
      <c r="AI16" s="16"/>
      <c r="AK16" s="16"/>
    </row>
    <row r="17" spans="2:37">
      <c r="AI17" s="16"/>
      <c r="AK17" s="16"/>
    </row>
    <row r="18" spans="2:37">
      <c r="AI18" s="16"/>
      <c r="AK18" s="16"/>
    </row>
    <row r="19" spans="2:37">
      <c r="AI19" s="16"/>
      <c r="AK19" s="16"/>
    </row>
    <row r="20" spans="2:37">
      <c r="AI20" s="16"/>
      <c r="AK20" s="16"/>
    </row>
    <row r="21" spans="2:37">
      <c r="AI21" s="16"/>
      <c r="AK21" s="16"/>
    </row>
    <row r="22" spans="2:37">
      <c r="AI22" s="16"/>
      <c r="AK22" s="16"/>
    </row>
    <row r="23" spans="2:37">
      <c r="B23" t="s">
        <v>299</v>
      </c>
      <c r="AI23" s="16"/>
      <c r="AK23" s="16"/>
    </row>
    <row r="24" spans="2:37">
      <c r="AI24" s="16"/>
      <c r="AK24" s="16"/>
    </row>
    <row r="25" spans="2:37">
      <c r="AI25" s="16"/>
      <c r="AK25" s="16"/>
    </row>
    <row r="26" spans="2:37">
      <c r="AI26" s="16"/>
      <c r="AK26" s="16"/>
    </row>
    <row r="27" spans="2:37">
      <c r="AI27" s="16"/>
      <c r="AK27" s="16"/>
    </row>
    <row r="28" spans="2:37">
      <c r="AI28" s="16"/>
      <c r="AK28" s="16"/>
    </row>
    <row r="29" spans="2:37">
      <c r="AI29" s="16"/>
      <c r="AK29" s="16"/>
    </row>
    <row r="30" spans="2:37">
      <c r="AI30" s="16"/>
      <c r="AK30" s="16"/>
    </row>
    <row r="31" spans="2:37">
      <c r="AI31" s="16"/>
      <c r="AK31" s="16"/>
    </row>
    <row r="32" spans="2:37">
      <c r="AI32" s="16"/>
      <c r="AK32" s="16"/>
    </row>
    <row r="33" spans="35:37">
      <c r="AI33" s="16"/>
      <c r="AK33" s="16"/>
    </row>
    <row r="34" spans="35:37">
      <c r="AI34" s="16"/>
      <c r="AK34" s="16"/>
    </row>
    <row r="35" spans="35:37">
      <c r="AI35" s="16"/>
      <c r="AK35" s="16"/>
    </row>
    <row r="36" spans="35:37">
      <c r="AI36" s="16"/>
      <c r="AK36" s="16"/>
    </row>
    <row r="37" spans="35:37">
      <c r="AI37" s="16"/>
      <c r="AK37" s="16"/>
    </row>
    <row r="38" spans="35:37">
      <c r="AI38" s="16"/>
      <c r="AK38" s="16"/>
    </row>
    <row r="39" spans="35:37">
      <c r="AI39" s="16"/>
      <c r="AK39" s="16"/>
    </row>
    <row r="40" spans="35:37">
      <c r="AI40" s="16"/>
      <c r="AK40" s="16"/>
    </row>
    <row r="41" spans="35:37">
      <c r="AI41" s="26"/>
      <c r="AK41" s="26"/>
    </row>
    <row r="42" spans="35:37">
      <c r="AI42" s="26"/>
      <c r="AK42" s="26"/>
    </row>
    <row r="43" spans="35:37">
      <c r="AI43" s="26"/>
      <c r="AK43" s="26"/>
    </row>
    <row r="44" spans="35:37">
      <c r="AI44" s="26"/>
      <c r="AK44" s="26"/>
    </row>
    <row r="45" spans="35:37">
      <c r="AI45" s="26"/>
      <c r="AK45" s="26"/>
    </row>
    <row r="46" spans="35:37">
      <c r="AI46" s="26"/>
      <c r="AK46" s="26"/>
    </row>
    <row r="47" spans="35:37">
      <c r="AI47" s="26"/>
      <c r="AK47" s="26"/>
    </row>
    <row r="48" spans="35:37">
      <c r="AI48" s="26"/>
      <c r="AK48" s="26"/>
    </row>
  </sheetData>
  <conditionalFormatting sqref="AI2 AK2 AK5:AK40 AI5:AI40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4 AK4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41:AI134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3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41:AK134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51F1-D542-4772-8E03-EF00C6866F65}">
  <sheetPr>
    <tabColor rgb="FF92D050"/>
  </sheetPr>
  <dimension ref="A1:AL49"/>
  <sheetViews>
    <sheetView zoomScale="70" zoomScaleNormal="70" workbookViewId="0">
      <selection activeCell="C4" sqref="C4"/>
    </sheetView>
  </sheetViews>
  <sheetFormatPr defaultColWidth="9.140625" defaultRowHeight="15"/>
  <cols>
    <col min="2" max="2" width="57.140625" customWidth="1"/>
    <col min="3" max="3" width="135.28515625" style="41" customWidth="1"/>
    <col min="4" max="4" width="8.140625" customWidth="1"/>
    <col min="5" max="5" width="5.85546875" style="41" customWidth="1"/>
    <col min="6" max="6" width="5.85546875" customWidth="1"/>
    <col min="7" max="7" width="12.85546875" customWidth="1"/>
    <col min="8" max="8" width="5.85546875" customWidth="1"/>
    <col min="9" max="10" width="13.42578125" customWidth="1"/>
    <col min="11" max="11" width="28.85546875" customWidth="1"/>
    <col min="12" max="16" width="5.85546875" customWidth="1"/>
    <col min="17" max="17" width="24.85546875" customWidth="1"/>
    <col min="18" max="27" width="5.85546875" customWidth="1"/>
    <col min="34" max="34" width="30" customWidth="1"/>
    <col min="35" max="35" width="14.7109375" style="5" customWidth="1"/>
    <col min="36" max="36" width="30" customWidth="1"/>
    <col min="37" max="37" width="14.7109375" style="5" customWidth="1"/>
    <col min="38" max="38" width="20" customWidth="1"/>
  </cols>
  <sheetData>
    <row r="1" spans="1:38" ht="27" customHeight="1">
      <c r="A1" s="33" t="s">
        <v>0</v>
      </c>
      <c r="B1" s="33" t="s">
        <v>1</v>
      </c>
      <c r="C1" s="33" t="s">
        <v>2</v>
      </c>
      <c r="D1" s="85" t="s">
        <v>3</v>
      </c>
      <c r="E1" s="89"/>
      <c r="F1" s="403" t="s">
        <v>4</v>
      </c>
      <c r="G1" s="32">
        <f>5*60*1000*SpeedFaktor</f>
        <v>300000</v>
      </c>
      <c r="H1">
        <v>10</v>
      </c>
      <c r="AG1" t="s">
        <v>5</v>
      </c>
      <c r="AH1" t="s">
        <v>252</v>
      </c>
      <c r="AI1" s="10" t="s">
        <v>8</v>
      </c>
      <c r="AJ1" t="s">
        <v>13</v>
      </c>
      <c r="AK1" s="10" t="s">
        <v>8</v>
      </c>
      <c r="AL1" s="281" t="s">
        <v>355</v>
      </c>
    </row>
    <row r="2" spans="1:38" ht="16.5" customHeight="1">
      <c r="A2" s="27">
        <v>1</v>
      </c>
      <c r="B2" t="s">
        <v>20</v>
      </c>
      <c r="C2" s="94" t="str">
        <f>'07-E2E'!B61</f>
        <v>{"url":p.aventisURL}</v>
      </c>
      <c r="AH2" s="84">
        <v>1388</v>
      </c>
      <c r="AI2" s="16">
        <f>AH2/$AH2</f>
        <v>1</v>
      </c>
      <c r="AJ2" s="84">
        <v>1588</v>
      </c>
      <c r="AK2" s="16">
        <f>AJ2/$AH2</f>
        <v>1.144092219020173</v>
      </c>
      <c r="AL2">
        <v>1598</v>
      </c>
    </row>
    <row r="3" spans="1:38" s="30" customFormat="1" ht="17.25" customHeight="1" thickBot="1">
      <c r="A3" s="27">
        <v>2</v>
      </c>
      <c r="B3" s="28" t="s">
        <v>23</v>
      </c>
      <c r="C3" s="29" t="str">
        <f>E3</f>
        <v>{"username":"bern.sozialarbeiterin1a@diartis.ch","password":"SMze97-jkSJ59!F.","fullname":"Sozialarbeiterin 1A Bern","team":"Sozialarbeit Bern 1"}</v>
      </c>
      <c r="D3" s="41"/>
      <c r="E3" s="29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95" t="s">
        <v>27</v>
      </c>
      <c r="G3" s="41" t="s">
        <v>41</v>
      </c>
      <c r="H3" s="95" t="s">
        <v>29</v>
      </c>
      <c r="I3" s="41" t="s">
        <v>42</v>
      </c>
      <c r="J3" s="95" t="s">
        <v>43</v>
      </c>
      <c r="K3" s="41" t="s">
        <v>44</v>
      </c>
      <c r="L3" s="95" t="s">
        <v>45</v>
      </c>
      <c r="M3" s="41" t="s">
        <v>46</v>
      </c>
      <c r="N3" s="95" t="s">
        <v>34</v>
      </c>
      <c r="O3" s="41"/>
      <c r="P3" s="95"/>
      <c r="Q3" s="41"/>
      <c r="R3" s="95"/>
      <c r="S3" s="41"/>
      <c r="T3" s="95"/>
      <c r="U3" s="41"/>
      <c r="V3" s="95"/>
      <c r="W3" s="41"/>
      <c r="X3" s="41"/>
      <c r="Y3" s="41"/>
      <c r="Z3" s="41"/>
      <c r="AA3" s="41"/>
      <c r="AB3" s="41"/>
      <c r="AC3" s="41"/>
      <c r="AD3" s="41"/>
      <c r="AE3" s="41"/>
      <c r="AF3" s="65"/>
      <c r="AG3" s="41"/>
      <c r="AH3" s="41">
        <v>3012</v>
      </c>
      <c r="AI3" s="41"/>
      <c r="AJ3" s="41">
        <v>3014</v>
      </c>
      <c r="AK3" s="26">
        <f t="shared" ref="AK3" si="0">AJ3/$AH3</f>
        <v>1.00066401062417</v>
      </c>
      <c r="AL3" s="30">
        <v>6360</v>
      </c>
    </row>
    <row r="4" spans="1:38" s="30" customFormat="1" ht="65.25" customHeight="1" thickBot="1">
      <c r="A4" s="27">
        <v>3</v>
      </c>
      <c r="B4" s="183" t="s">
        <v>286</v>
      </c>
      <c r="C4" s="29" t="str">
        <f ca="1">E4</f>
        <v> {"dossier":p.DossierName8,"zimmerWohnungTitel":"4-Zimmer-Wohnung","strasseAdresse":"Strasse_332 32, 3053 Münchenbuchsee","Wohnkosten":1300,"beWohnerContains":`${p.ManFirstName9},${p.WomanFirstName8},${p.GirlFirstName8},${p.ManFirstName8}`,"gueltigAb":"20.12.2021"}</v>
      </c>
      <c r="D4" s="41" t="s">
        <v>395</v>
      </c>
      <c r="E4" s="29" t="str">
        <f ca="1">F4&amp;G4&amp;H4&amp;I4&amp;J4&amp;K4&amp;L4&amp;M4&amp;N4&amp;O4&amp;P4&amp;Q4&amp;R4&amp;S4&amp;T4&amp;U4&amp;V4&amp;W4&amp;X4</f>
        <v> {"dossier":p.DossierName8,"zimmerWohnungTitel":"4-Zimmer-Wohnung","strasseAdresse":"Strasse_332 32, 3053 Münchenbuchsee","Wohnkosten":1300,"beWohnerContains":`${p.ManFirstName9},${p.WomanFirstName8},${p.GirlFirstName8},${p.ManFirstName8}`,"gueltigAb":"20.12.2021"}</v>
      </c>
      <c r="F4" s="184" t="s">
        <v>254</v>
      </c>
      <c r="G4" s="185" t="s">
        <v>315</v>
      </c>
      <c r="H4" s="41" t="s">
        <v>338</v>
      </c>
      <c r="I4" s="105" t="s">
        <v>288</v>
      </c>
      <c r="J4" s="41" t="s">
        <v>289</v>
      </c>
      <c r="K4" s="105" t="str">
        <f ca="1">'08-E2E'!I7&amp;" "&amp;'08-E2E'!K7&amp;", "&amp;'08-E2E'!M7</f>
        <v>Strasse_332 32, 3053 Münchenbuchsee</v>
      </c>
      <c r="L4" s="41" t="s">
        <v>290</v>
      </c>
      <c r="M4" s="271">
        <v>1300</v>
      </c>
      <c r="N4" s="41" t="s">
        <v>340</v>
      </c>
      <c r="O4" s="86" t="s">
        <v>341</v>
      </c>
      <c r="P4" s="87" t="s">
        <v>342</v>
      </c>
      <c r="Q4" s="87" t="str">
        <f ca="1">TEXT('08-E2E'!O7,"DD.MM.YYYY")</f>
        <v>20.12.2021</v>
      </c>
      <c r="R4" s="87" t="s">
        <v>34</v>
      </c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41">
        <v>11766</v>
      </c>
      <c r="AI4" s="16">
        <v>1</v>
      </c>
      <c r="AJ4" s="41">
        <v>14440</v>
      </c>
      <c r="AK4" s="16">
        <v>1.2272650008499064</v>
      </c>
      <c r="AL4" s="282">
        <v>0</v>
      </c>
    </row>
    <row r="5" spans="1:38">
      <c r="AI5" s="16"/>
      <c r="AK5" s="16"/>
    </row>
    <row r="6" spans="1:38">
      <c r="K6" s="105" t="s">
        <v>339</v>
      </c>
      <c r="AI6" s="16"/>
      <c r="AK6" s="16"/>
    </row>
    <row r="7" spans="1:38">
      <c r="AI7" s="16"/>
      <c r="AK7" s="16"/>
    </row>
    <row r="8" spans="1:38">
      <c r="Q8" t="str">
        <f ca="1">TEXT(RANDBETWEEN(1,28)&amp;"."&amp;RANDBETWEEN(1,12)&amp;"."&amp;TEXT(TODAY()-4*365,"YYYY"),"DD.MM.YYYY")</f>
        <v>13.4.2021</v>
      </c>
      <c r="AI8" s="16"/>
      <c r="AK8" s="16"/>
    </row>
    <row r="9" spans="1:38">
      <c r="AI9" s="16"/>
      <c r="AK9" s="16"/>
    </row>
    <row r="10" spans="1:38">
      <c r="AI10" s="16"/>
      <c r="AK10" s="16"/>
    </row>
    <row r="11" spans="1:38">
      <c r="AI11" s="16"/>
      <c r="AK11" s="16"/>
    </row>
    <row r="12" spans="1:38">
      <c r="AI12" s="16"/>
      <c r="AK12" s="16"/>
    </row>
    <row r="13" spans="1:38">
      <c r="AI13" s="16"/>
      <c r="AK13" s="16"/>
    </row>
    <row r="14" spans="1:38">
      <c r="AI14" s="16"/>
      <c r="AK14" s="16"/>
    </row>
    <row r="15" spans="1:38">
      <c r="AI15" s="16"/>
      <c r="AK15" s="16"/>
    </row>
    <row r="16" spans="1:38">
      <c r="E16" s="41">
        <v>2</v>
      </c>
      <c r="AI16" s="16"/>
      <c r="AK16" s="16"/>
    </row>
    <row r="17" spans="35:37">
      <c r="AI17" s="16"/>
      <c r="AK17" s="16"/>
    </row>
    <row r="18" spans="35:37">
      <c r="AI18" s="16"/>
      <c r="AK18" s="16"/>
    </row>
    <row r="19" spans="35:37">
      <c r="AI19" s="16"/>
      <c r="AK19" s="16"/>
    </row>
    <row r="20" spans="35:37">
      <c r="AI20" s="16"/>
      <c r="AK20" s="16"/>
    </row>
    <row r="21" spans="35:37">
      <c r="AI21" s="16"/>
      <c r="AK21" s="16"/>
    </row>
    <row r="22" spans="35:37">
      <c r="AI22" s="16"/>
      <c r="AK22" s="16"/>
    </row>
    <row r="23" spans="35:37">
      <c r="AI23" s="16"/>
      <c r="AK23" s="16"/>
    </row>
    <row r="24" spans="35:37">
      <c r="AI24" s="16"/>
      <c r="AK24" s="16"/>
    </row>
    <row r="25" spans="35:37">
      <c r="AI25" s="16"/>
      <c r="AK25" s="16"/>
    </row>
    <row r="26" spans="35:37">
      <c r="AI26" s="16"/>
      <c r="AK26" s="16"/>
    </row>
    <row r="27" spans="35:37">
      <c r="AI27" s="16"/>
      <c r="AK27" s="16"/>
    </row>
    <row r="28" spans="35:37">
      <c r="AI28" s="16"/>
      <c r="AK28" s="16"/>
    </row>
    <row r="29" spans="35:37">
      <c r="AI29" s="16"/>
      <c r="AK29" s="16"/>
    </row>
    <row r="30" spans="35:37">
      <c r="AI30" s="16"/>
      <c r="AK30" s="16"/>
    </row>
    <row r="31" spans="35:37">
      <c r="AI31" s="16"/>
      <c r="AK31" s="16"/>
    </row>
    <row r="32" spans="35:37">
      <c r="AI32" s="16"/>
      <c r="AK32" s="16"/>
    </row>
    <row r="33" spans="35:37">
      <c r="AI33" s="16"/>
      <c r="AK33" s="16"/>
    </row>
    <row r="34" spans="35:37">
      <c r="AI34" s="16"/>
      <c r="AK34" s="16"/>
    </row>
    <row r="35" spans="35:37">
      <c r="AI35" s="16"/>
      <c r="AK35" s="16"/>
    </row>
    <row r="36" spans="35:37">
      <c r="AI36" s="16"/>
      <c r="AK36" s="16"/>
    </row>
    <row r="37" spans="35:37">
      <c r="AI37" s="16"/>
      <c r="AK37" s="16"/>
    </row>
    <row r="38" spans="35:37">
      <c r="AI38" s="16"/>
      <c r="AK38" s="16"/>
    </row>
    <row r="39" spans="35:37">
      <c r="AI39" s="16"/>
      <c r="AK39" s="16"/>
    </row>
    <row r="40" spans="35:37">
      <c r="AI40" s="16"/>
      <c r="AK40" s="16"/>
    </row>
    <row r="41" spans="35:37">
      <c r="AI41" s="16"/>
      <c r="AK41" s="16"/>
    </row>
    <row r="42" spans="35:37">
      <c r="AI42" s="26"/>
      <c r="AK42" s="26"/>
    </row>
    <row r="43" spans="35:37">
      <c r="AI43" s="26"/>
      <c r="AK43" s="26"/>
    </row>
    <row r="44" spans="35:37">
      <c r="AI44" s="26"/>
      <c r="AK44" s="26"/>
    </row>
    <row r="45" spans="35:37">
      <c r="AI45" s="26"/>
      <c r="AK45" s="26"/>
    </row>
    <row r="46" spans="35:37">
      <c r="AI46" s="26"/>
      <c r="AK46" s="26"/>
    </row>
    <row r="47" spans="35:37">
      <c r="AI47" s="26"/>
      <c r="AK47" s="26"/>
    </row>
    <row r="48" spans="35:37">
      <c r="AI48" s="26"/>
      <c r="AK48" s="26"/>
    </row>
    <row r="49" spans="35:37">
      <c r="AI49" s="26"/>
      <c r="AK49" s="26"/>
    </row>
  </sheetData>
  <conditionalFormatting sqref="AI2 AK2 AK4:AK41 AI4:AI41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42:AI135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3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42:AK13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9551-FA66-4EF2-BC38-FA02BA819C45}">
  <sheetPr>
    <tabColor rgb="FF92D050"/>
  </sheetPr>
  <dimension ref="A1:AQ48"/>
  <sheetViews>
    <sheetView zoomScale="70" zoomScaleNormal="70" workbookViewId="0">
      <selection activeCell="C4" sqref="C4"/>
    </sheetView>
  </sheetViews>
  <sheetFormatPr defaultColWidth="9.140625" defaultRowHeight="15"/>
  <cols>
    <col min="2" max="2" width="57.140625" customWidth="1"/>
    <col min="3" max="3" width="135.28515625" style="41" customWidth="1"/>
    <col min="4" max="4" width="8.140625" customWidth="1"/>
    <col min="5" max="5" width="5.85546875" style="41" customWidth="1"/>
    <col min="6" max="6" width="5.85546875" customWidth="1"/>
    <col min="7" max="7" width="33.85546875" bestFit="1" customWidth="1"/>
    <col min="8" max="8" width="5.85546875" customWidth="1"/>
    <col min="9" max="10" width="13.42578125" customWidth="1"/>
    <col min="11" max="11" width="28.85546875" customWidth="1"/>
    <col min="12" max="27" width="5.85546875" customWidth="1"/>
    <col min="34" max="34" width="30" customWidth="1"/>
    <col min="35" max="35" width="14.7109375" style="5" customWidth="1"/>
    <col min="36" max="36" width="30" customWidth="1"/>
    <col min="37" max="37" width="14.7109375" style="5" customWidth="1"/>
    <col min="38" max="38" width="20" customWidth="1"/>
    <col min="39" max="39" width="50" customWidth="1"/>
    <col min="40" max="40" width="20" customWidth="1"/>
    <col min="41" max="41" width="50" customWidth="1"/>
    <col min="42" max="42" width="20" customWidth="1"/>
    <col min="43" max="43" width="50" customWidth="1"/>
  </cols>
  <sheetData>
    <row r="1" spans="1:43" ht="27" customHeight="1">
      <c r="A1" s="33" t="s">
        <v>0</v>
      </c>
      <c r="B1" s="33" t="s">
        <v>1</v>
      </c>
      <c r="C1" s="33" t="s">
        <v>2</v>
      </c>
      <c r="D1" s="85" t="s">
        <v>3</v>
      </c>
      <c r="E1" s="89"/>
      <c r="F1" s="403" t="s">
        <v>4</v>
      </c>
      <c r="G1" s="32">
        <f>5*60*1000*SpeedFaktor</f>
        <v>300000</v>
      </c>
      <c r="H1">
        <v>10</v>
      </c>
      <c r="AG1" t="s">
        <v>5</v>
      </c>
      <c r="AH1" t="s">
        <v>252</v>
      </c>
      <c r="AI1" s="10" t="s">
        <v>8</v>
      </c>
      <c r="AJ1" t="s">
        <v>13</v>
      </c>
      <c r="AK1" s="10" t="s">
        <v>8</v>
      </c>
      <c r="AL1" s="328"/>
      <c r="AM1" s="329"/>
      <c r="AN1" s="342"/>
      <c r="AO1" s="343"/>
      <c r="AP1" s="374"/>
      <c r="AQ1" s="375"/>
    </row>
    <row r="2" spans="1:43" ht="16.5" customHeight="1">
      <c r="A2" s="27">
        <v>1</v>
      </c>
      <c r="B2" t="s">
        <v>20</v>
      </c>
      <c r="C2" s="94" t="str">
        <f>'07-E2E'!B61</f>
        <v>{"url":p.aventisURL}</v>
      </c>
      <c r="AH2" s="84">
        <v>1388</v>
      </c>
      <c r="AI2" s="16">
        <f>AH2/$AH2</f>
        <v>1</v>
      </c>
      <c r="AJ2" s="84">
        <v>1588</v>
      </c>
      <c r="AK2" s="16">
        <f>AJ2/$AH2</f>
        <v>1.144092219020173</v>
      </c>
      <c r="AP2" s="376"/>
      <c r="AQ2" s="377"/>
    </row>
    <row r="3" spans="1:43" s="30" customFormat="1" ht="17.25" customHeight="1" thickBot="1">
      <c r="A3" s="27">
        <v>2</v>
      </c>
      <c r="B3" s="28" t="s">
        <v>23</v>
      </c>
      <c r="C3" s="29" t="str">
        <f>E3</f>
        <v>{"username":"bern.sozialarbeiterin1a@diartis.ch","password":"SMze97-jkSJ59!F.","fullname":"Sozialarbeiterin 1A Bern","team":"Sozialarbeit Bern 1"}</v>
      </c>
      <c r="D3" s="41"/>
      <c r="E3" s="29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95" t="s">
        <v>27</v>
      </c>
      <c r="G3" s="41" t="s">
        <v>41</v>
      </c>
      <c r="H3" s="95" t="s">
        <v>29</v>
      </c>
      <c r="I3" s="41" t="s">
        <v>42</v>
      </c>
      <c r="J3" s="95" t="s">
        <v>43</v>
      </c>
      <c r="K3" s="41" t="s">
        <v>44</v>
      </c>
      <c r="L3" s="95" t="s">
        <v>45</v>
      </c>
      <c r="M3" s="41" t="s">
        <v>46</v>
      </c>
      <c r="N3" s="95" t="s">
        <v>34</v>
      </c>
      <c r="O3" s="41"/>
      <c r="P3" s="95"/>
      <c r="Q3" s="41"/>
      <c r="R3" s="95"/>
      <c r="S3" s="41"/>
      <c r="T3" s="95"/>
      <c r="U3" s="41"/>
      <c r="V3" s="95"/>
      <c r="W3" s="41"/>
      <c r="X3" s="41"/>
      <c r="Y3" s="41"/>
      <c r="Z3" s="41"/>
      <c r="AA3" s="41"/>
      <c r="AB3" s="41"/>
      <c r="AC3" s="41"/>
      <c r="AD3" s="41"/>
      <c r="AE3" s="41"/>
      <c r="AF3" s="65"/>
      <c r="AG3" s="41"/>
      <c r="AH3" s="41">
        <v>3012</v>
      </c>
      <c r="AI3" s="41"/>
      <c r="AJ3" s="41">
        <v>3014</v>
      </c>
      <c r="AK3" s="26">
        <f t="shared" ref="AK3" si="0">AJ3/$AH3</f>
        <v>1.00066401062417</v>
      </c>
    </row>
    <row r="4" spans="1:43" s="30" customFormat="1" ht="42.75" customHeight="1" thickBot="1">
      <c r="A4" s="27">
        <v>3</v>
      </c>
      <c r="B4" s="183" t="s">
        <v>287</v>
      </c>
      <c r="C4" s="29" t="str">
        <f>E4&amp;F4&amp;G4&amp;H4&amp;I4&amp;J4&amp;K4&amp;L4&amp;M4&amp;N4&amp;O4&amp;P4&amp;Q4&amp;R4&amp;S4</f>
        <v> {"dossier":p.DossierName8,"firstLevelBetrag":1250,"wohnKostenGemAnspruch":1250,"uebernommeneWohnkosten":1250,"totalWohnkosten":1300}</v>
      </c>
      <c r="D4" s="41" t="s">
        <v>395</v>
      </c>
      <c r="E4" s="29"/>
      <c r="F4" s="184" t="s">
        <v>254</v>
      </c>
      <c r="G4" s="185" t="str">
        <f>'08-E2E'!G12</f>
        <v>p.DossierName8</v>
      </c>
      <c r="H4" s="41" t="s">
        <v>356</v>
      </c>
      <c r="I4" s="30">
        <v>1250</v>
      </c>
      <c r="J4" s="41" t="s">
        <v>291</v>
      </c>
      <c r="K4" s="271">
        <v>1250</v>
      </c>
      <c r="L4" s="41" t="s">
        <v>292</v>
      </c>
      <c r="M4" s="41">
        <v>1250</v>
      </c>
      <c r="N4" s="41" t="s">
        <v>293</v>
      </c>
      <c r="O4" s="86">
        <v>1300</v>
      </c>
      <c r="P4" s="87"/>
      <c r="Q4" s="87"/>
      <c r="R4" s="87" t="s">
        <v>120</v>
      </c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41">
        <v>11766</v>
      </c>
      <c r="AI4" s="16">
        <f t="shared" ref="AI4:AK4" si="1">AH4/$AH4</f>
        <v>1</v>
      </c>
      <c r="AJ4" s="41">
        <v>14440</v>
      </c>
      <c r="AK4" s="16">
        <f t="shared" si="1"/>
        <v>1.2272650008499064</v>
      </c>
    </row>
    <row r="5" spans="1:43">
      <c r="AI5" s="16"/>
      <c r="AK5" s="16"/>
    </row>
    <row r="6" spans="1:43">
      <c r="AI6" s="16"/>
      <c r="AK6" s="16"/>
    </row>
    <row r="7" spans="1:43">
      <c r="AI7" s="16"/>
      <c r="AK7" s="16"/>
    </row>
    <row r="8" spans="1:43">
      <c r="AI8" s="16"/>
      <c r="AK8" s="16"/>
    </row>
    <row r="9" spans="1:43">
      <c r="AI9" s="16"/>
      <c r="AK9" s="16"/>
    </row>
    <row r="10" spans="1:43">
      <c r="AI10" s="16"/>
      <c r="AK10" s="16"/>
    </row>
    <row r="11" spans="1:43">
      <c r="AI11" s="16"/>
      <c r="AK11" s="16"/>
    </row>
    <row r="12" spans="1:43">
      <c r="AI12" s="16"/>
      <c r="AK12" s="16"/>
    </row>
    <row r="13" spans="1:43">
      <c r="AI13" s="16"/>
      <c r="AK13" s="16"/>
    </row>
    <row r="14" spans="1:43">
      <c r="AI14" s="16"/>
      <c r="AK14" s="16"/>
    </row>
    <row r="15" spans="1:43">
      <c r="AI15" s="16"/>
      <c r="AK15" s="16"/>
    </row>
    <row r="16" spans="1:43">
      <c r="E16" s="41">
        <v>2</v>
      </c>
      <c r="AI16" s="16"/>
      <c r="AK16" s="16"/>
    </row>
    <row r="17" spans="35:37">
      <c r="AI17" s="16"/>
      <c r="AK17" s="16"/>
    </row>
    <row r="18" spans="35:37">
      <c r="AI18" s="16"/>
      <c r="AK18" s="16"/>
    </row>
    <row r="19" spans="35:37">
      <c r="AI19" s="16"/>
      <c r="AK19" s="16"/>
    </row>
    <row r="20" spans="35:37">
      <c r="AI20" s="16"/>
      <c r="AK20" s="16"/>
    </row>
    <row r="21" spans="35:37">
      <c r="AI21" s="16"/>
      <c r="AK21" s="16"/>
    </row>
    <row r="22" spans="35:37">
      <c r="AI22" s="16"/>
      <c r="AK22" s="16"/>
    </row>
    <row r="23" spans="35:37">
      <c r="AI23" s="16"/>
      <c r="AK23" s="16"/>
    </row>
    <row r="24" spans="35:37">
      <c r="AI24" s="16"/>
      <c r="AK24" s="16"/>
    </row>
    <row r="25" spans="35:37">
      <c r="AI25" s="16"/>
      <c r="AK25" s="16"/>
    </row>
    <row r="26" spans="35:37">
      <c r="AI26" s="16"/>
      <c r="AK26" s="16"/>
    </row>
    <row r="27" spans="35:37">
      <c r="AI27" s="16"/>
      <c r="AK27" s="16"/>
    </row>
    <row r="28" spans="35:37">
      <c r="AI28" s="16"/>
      <c r="AK28" s="16"/>
    </row>
    <row r="29" spans="35:37">
      <c r="AI29" s="16"/>
      <c r="AK29" s="16"/>
    </row>
    <row r="30" spans="35:37">
      <c r="AI30" s="16"/>
      <c r="AK30" s="16"/>
    </row>
    <row r="31" spans="35:37">
      <c r="AI31" s="16"/>
      <c r="AK31" s="16"/>
    </row>
    <row r="32" spans="35:37">
      <c r="AI32" s="16"/>
      <c r="AK32" s="16"/>
    </row>
    <row r="33" spans="35:37">
      <c r="AI33" s="16"/>
      <c r="AK33" s="16"/>
    </row>
    <row r="34" spans="35:37">
      <c r="AI34" s="16"/>
      <c r="AK34" s="16"/>
    </row>
    <row r="35" spans="35:37">
      <c r="AI35" s="16"/>
      <c r="AK35" s="16"/>
    </row>
    <row r="36" spans="35:37">
      <c r="AI36" s="16"/>
      <c r="AK36" s="16"/>
    </row>
    <row r="37" spans="35:37">
      <c r="AI37" s="16"/>
      <c r="AK37" s="16"/>
    </row>
    <row r="38" spans="35:37">
      <c r="AI38" s="16"/>
      <c r="AK38" s="16"/>
    </row>
    <row r="39" spans="35:37">
      <c r="AI39" s="16"/>
      <c r="AK39" s="16"/>
    </row>
    <row r="40" spans="35:37">
      <c r="AI40" s="16"/>
      <c r="AK40" s="16"/>
    </row>
    <row r="41" spans="35:37">
      <c r="AI41" s="26"/>
      <c r="AK41" s="26"/>
    </row>
    <row r="42" spans="35:37">
      <c r="AI42" s="26"/>
      <c r="AK42" s="26"/>
    </row>
    <row r="43" spans="35:37">
      <c r="AI43" s="26"/>
      <c r="AK43" s="26"/>
    </row>
    <row r="44" spans="35:37">
      <c r="AI44" s="26"/>
      <c r="AK44" s="26"/>
    </row>
    <row r="45" spans="35:37">
      <c r="AI45" s="26"/>
      <c r="AK45" s="26"/>
    </row>
    <row r="46" spans="35:37">
      <c r="AI46" s="26"/>
      <c r="AK46" s="26"/>
    </row>
    <row r="47" spans="35:37">
      <c r="AI47" s="26"/>
      <c r="AK47" s="26"/>
    </row>
    <row r="48" spans="35:37">
      <c r="AI48" s="26"/>
      <c r="AK48" s="26"/>
    </row>
  </sheetData>
  <conditionalFormatting sqref="AI2 AK2 AK5:AK40 AI5:AI40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4 AK4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41:AI134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3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41:AK134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2D050"/>
  </sheetPr>
  <dimension ref="A1:AS65"/>
  <sheetViews>
    <sheetView zoomScale="70" zoomScaleNormal="70" workbookViewId="0">
      <selection activeCell="H1" sqref="H1"/>
    </sheetView>
  </sheetViews>
  <sheetFormatPr defaultColWidth="9.140625" defaultRowHeight="15"/>
  <cols>
    <col min="2" max="2" width="57.140625" customWidth="1"/>
    <col min="3" max="3" width="135.28515625" style="41" customWidth="1"/>
    <col min="4" max="4" width="8.140625" customWidth="1"/>
    <col min="5" max="5" width="5.85546875" style="41" customWidth="1"/>
    <col min="6" max="6" width="5.85546875" customWidth="1"/>
    <col min="7" max="7" width="33.85546875" bestFit="1" customWidth="1"/>
    <col min="8" max="8" width="5.85546875" customWidth="1"/>
    <col min="9" max="10" width="13.42578125" customWidth="1"/>
    <col min="11" max="11" width="28.85546875" customWidth="1"/>
    <col min="12" max="27" width="5.85546875" customWidth="1"/>
    <col min="34" max="34" width="30" customWidth="1"/>
    <col min="35" max="35" width="14.7109375" style="5" customWidth="1"/>
    <col min="36" max="36" width="30" customWidth="1"/>
    <col min="37" max="37" width="14.7109375" style="5" customWidth="1"/>
    <col min="38" max="38" width="28" customWidth="1"/>
    <col min="40" max="40" width="20" customWidth="1"/>
    <col min="41" max="41" width="50" customWidth="1"/>
    <col min="42" max="42" width="20" customWidth="1"/>
    <col min="43" max="43" width="50" customWidth="1"/>
    <col min="44" max="44" width="20" customWidth="1"/>
    <col min="45" max="45" width="50" customWidth="1"/>
  </cols>
  <sheetData>
    <row r="1" spans="1:45" ht="27" customHeight="1">
      <c r="A1" s="33" t="s">
        <v>0</v>
      </c>
      <c r="B1" s="33" t="s">
        <v>1</v>
      </c>
      <c r="C1" s="33" t="s">
        <v>2</v>
      </c>
      <c r="D1" s="85" t="s">
        <v>3</v>
      </c>
      <c r="E1" s="89"/>
      <c r="F1" s="403" t="s">
        <v>4</v>
      </c>
      <c r="G1" s="32">
        <f>5*60*1000*SpeedFaktor</f>
        <v>300000</v>
      </c>
      <c r="H1">
        <v>10</v>
      </c>
      <c r="AG1" t="s">
        <v>5</v>
      </c>
      <c r="AH1" t="s">
        <v>252</v>
      </c>
      <c r="AI1" s="10" t="s">
        <v>8</v>
      </c>
      <c r="AJ1" t="s">
        <v>13</v>
      </c>
      <c r="AK1" s="10" t="s">
        <v>8</v>
      </c>
      <c r="AL1" s="283" t="s">
        <v>355</v>
      </c>
      <c r="AN1" s="330" t="s">
        <v>377</v>
      </c>
      <c r="AO1" s="331" t="s">
        <v>352</v>
      </c>
      <c r="AP1" s="344" t="s">
        <v>380</v>
      </c>
      <c r="AQ1" s="345" t="s">
        <v>352</v>
      </c>
      <c r="AR1" s="378" t="s">
        <v>387</v>
      </c>
      <c r="AS1" s="379" t="s">
        <v>352</v>
      </c>
    </row>
    <row r="2" spans="1:45" ht="16.5" customHeight="1">
      <c r="A2" s="27">
        <v>1</v>
      </c>
      <c r="B2" t="s">
        <v>20</v>
      </c>
      <c r="C2" s="94" t="str">
        <f>'07-E2E'!B61</f>
        <v>{"url":p.aventisURL}</v>
      </c>
      <c r="AH2" s="84">
        <v>1388</v>
      </c>
      <c r="AI2" s="16">
        <f>AH2/$AH2</f>
        <v>1</v>
      </c>
      <c r="AJ2" s="84">
        <v>1588</v>
      </c>
      <c r="AK2" s="16">
        <f>AJ2/$AH2</f>
        <v>1.144092219020173</v>
      </c>
      <c r="AL2">
        <v>1665</v>
      </c>
      <c r="AN2">
        <v>1236</v>
      </c>
      <c r="AP2">
        <v>1044</v>
      </c>
      <c r="AR2" s="380">
        <v>0</v>
      </c>
      <c r="AS2" s="381" t="s">
        <v>393</v>
      </c>
    </row>
    <row r="3" spans="1:45" s="30" customFormat="1" ht="17.25" customHeight="1" thickBot="1">
      <c r="A3" s="27">
        <v>2</v>
      </c>
      <c r="B3" s="28" t="s">
        <v>23</v>
      </c>
      <c r="C3" s="29" t="str">
        <f>E3</f>
        <v>{"username":"bern.sozialarbeiterin1a@diartis.ch","password":"SMze97-jkSJ59!F.","fullname":"Sozialarbeiterin 1A Bern","team":"Sozialarbeit Bern 1"}</v>
      </c>
      <c r="D3" s="41"/>
      <c r="E3" s="29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95" t="s">
        <v>27</v>
      </c>
      <c r="G3" s="41" t="s">
        <v>41</v>
      </c>
      <c r="H3" s="95" t="s">
        <v>29</v>
      </c>
      <c r="I3" s="41" t="s">
        <v>42</v>
      </c>
      <c r="J3" s="95" t="s">
        <v>43</v>
      </c>
      <c r="K3" s="41" t="s">
        <v>44</v>
      </c>
      <c r="L3" s="95" t="s">
        <v>45</v>
      </c>
      <c r="M3" s="41" t="s">
        <v>46</v>
      </c>
      <c r="N3" s="95" t="s">
        <v>34</v>
      </c>
      <c r="O3" s="41"/>
      <c r="P3" s="95"/>
      <c r="Q3" s="41"/>
      <c r="R3" s="95"/>
      <c r="S3" s="41"/>
      <c r="T3" s="95"/>
      <c r="U3" s="41"/>
      <c r="V3" s="95"/>
      <c r="W3" s="41"/>
      <c r="X3" s="41"/>
      <c r="Y3" s="41"/>
      <c r="Z3" s="41"/>
      <c r="AA3" s="41"/>
      <c r="AB3" s="41"/>
      <c r="AC3" s="41"/>
      <c r="AD3" s="41"/>
      <c r="AE3" s="41"/>
      <c r="AF3" s="65"/>
      <c r="AG3" s="41"/>
      <c r="AH3" s="41">
        <v>3012</v>
      </c>
      <c r="AI3" s="41"/>
      <c r="AJ3" s="41">
        <v>3014</v>
      </c>
      <c r="AK3" s="26">
        <f t="shared" ref="AK3" si="0">AJ3/$AH3</f>
        <v>1.00066401062417</v>
      </c>
      <c r="AL3" s="30">
        <v>6629</v>
      </c>
      <c r="AN3" s="30">
        <v>9397</v>
      </c>
      <c r="AP3" s="30">
        <v>7501</v>
      </c>
      <c r="AR3" s="30">
        <v>701</v>
      </c>
      <c r="AS3" s="30" t="s">
        <v>388</v>
      </c>
    </row>
    <row r="4" spans="1:45" s="42" customFormat="1" ht="16.5" customHeight="1" thickBot="1">
      <c r="A4" s="27">
        <v>3</v>
      </c>
      <c r="B4" s="43" t="s">
        <v>21</v>
      </c>
      <c r="C4" s="44" t="s">
        <v>253</v>
      </c>
      <c r="D4" s="45"/>
      <c r="E4" s="46"/>
      <c r="F4" s="47"/>
      <c r="G4" s="48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1">
        <v>308</v>
      </c>
      <c r="AI4" s="16">
        <f t="shared" ref="AI4:AK5" si="1">AH4/$AH4</f>
        <v>1</v>
      </c>
      <c r="AJ4" s="41">
        <v>318</v>
      </c>
      <c r="AK4" s="16">
        <f t="shared" si="1"/>
        <v>1.0324675324675325</v>
      </c>
      <c r="AL4" s="42">
        <v>305</v>
      </c>
      <c r="AN4" s="42">
        <v>307</v>
      </c>
      <c r="AP4" s="42">
        <v>305</v>
      </c>
    </row>
    <row r="5" spans="1:45" s="30" customFormat="1" ht="22.5" customHeight="1" thickBot="1">
      <c r="A5" s="37">
        <v>4</v>
      </c>
      <c r="B5" s="90" t="s">
        <v>274</v>
      </c>
      <c r="C5" s="82" t="str">
        <f>E5&amp;F5&amp;G5&amp;H5&amp;I5&amp;J5&amp;K5&amp;L5&amp;M5&amp;N5 &amp;O5&amp;P5&amp;Q5&amp;R5&amp;S5&amp;T5&amp;U5&amp;V5&amp;W5&amp;X5&amp;Y5&amp;Z5&amp;AA5&amp;AB5</f>
        <v> {"dossier":p.DossierName8,"checkUebernomWohnKosten":1250} </v>
      </c>
      <c r="D5" s="87" t="s">
        <v>395</v>
      </c>
      <c r="E5" s="82"/>
      <c r="F5" s="87" t="s">
        <v>254</v>
      </c>
      <c r="G5" s="92" t="str">
        <f>'08-E2E'!G11</f>
        <v>p.DossierName8</v>
      </c>
      <c r="H5" s="87" t="s">
        <v>276</v>
      </c>
      <c r="I5" s="309">
        <v>1250</v>
      </c>
      <c r="J5" s="87" t="s">
        <v>277</v>
      </c>
      <c r="K5" s="88"/>
      <c r="L5" s="87"/>
      <c r="M5" s="87"/>
      <c r="N5" s="87"/>
      <c r="O5" s="86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41">
        <v>11766</v>
      </c>
      <c r="AI5" s="16">
        <f t="shared" si="1"/>
        <v>1</v>
      </c>
      <c r="AJ5" s="41">
        <v>14440</v>
      </c>
      <c r="AK5" s="16">
        <f t="shared" si="1"/>
        <v>1.2272650008499064</v>
      </c>
      <c r="AL5" s="284">
        <v>0</v>
      </c>
      <c r="AN5" s="30">
        <v>7435</v>
      </c>
      <c r="AP5" s="30">
        <v>7471</v>
      </c>
    </row>
    <row r="6" spans="1:45" s="42" customFormat="1" ht="16.5" customHeight="1" thickBot="1">
      <c r="A6" s="27">
        <v>3</v>
      </c>
      <c r="B6" s="43" t="s">
        <v>21</v>
      </c>
      <c r="C6" s="44" t="s">
        <v>39</v>
      </c>
      <c r="D6" s="45"/>
      <c r="E6" s="46"/>
      <c r="F6" s="47"/>
      <c r="G6" s="48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1">
        <v>308</v>
      </c>
      <c r="AI6" s="16">
        <f t="shared" ref="AI6" si="2">AH6/$AH6</f>
        <v>1</v>
      </c>
      <c r="AJ6" s="41">
        <v>318</v>
      </c>
      <c r="AK6" s="16">
        <f t="shared" ref="AK6" si="3">AJ6/$AH6</f>
        <v>1.0324675324675325</v>
      </c>
      <c r="AL6" s="42">
        <v>305</v>
      </c>
      <c r="AN6" s="42">
        <v>307</v>
      </c>
      <c r="AP6" s="42">
        <v>305</v>
      </c>
    </row>
    <row r="7" spans="1:45" ht="15.75" thickBot="1">
      <c r="AI7" s="16"/>
      <c r="AK7" s="16"/>
    </row>
    <row r="8" spans="1:45" ht="14.25" customHeight="1" thickBot="1">
      <c r="B8" s="90" t="s">
        <v>274</v>
      </c>
      <c r="C8" s="91" t="s">
        <v>275</v>
      </c>
      <c r="AI8" s="16"/>
      <c r="AK8" s="16"/>
    </row>
    <row r="9" spans="1:45" ht="13.5" customHeight="1">
      <c r="AI9" s="16"/>
      <c r="AK9" s="16"/>
    </row>
    <row r="10" spans="1:45">
      <c r="AI10" s="16"/>
      <c r="AK10" s="16"/>
    </row>
    <row r="11" spans="1:45">
      <c r="AI11" s="16"/>
      <c r="AK11" s="16"/>
    </row>
    <row r="12" spans="1:45">
      <c r="AI12" s="16"/>
      <c r="AK12" s="16"/>
    </row>
    <row r="13" spans="1:45">
      <c r="AI13" s="16"/>
      <c r="AK13" s="16"/>
    </row>
    <row r="14" spans="1:45">
      <c r="AI14" s="16"/>
      <c r="AK14" s="16"/>
    </row>
    <row r="15" spans="1:45">
      <c r="AI15" s="16"/>
      <c r="AK15" s="16"/>
    </row>
    <row r="16" spans="1:45">
      <c r="E16" s="41">
        <v>2</v>
      </c>
      <c r="AI16" s="16"/>
      <c r="AK16" s="16"/>
    </row>
    <row r="17" spans="35:37">
      <c r="AI17" s="16"/>
      <c r="AK17" s="16"/>
    </row>
    <row r="18" spans="35:37">
      <c r="AI18" s="16"/>
      <c r="AK18" s="16"/>
    </row>
    <row r="19" spans="35:37">
      <c r="AI19" s="16"/>
      <c r="AK19" s="16"/>
    </row>
    <row r="20" spans="35:37">
      <c r="AI20" s="16"/>
      <c r="AK20" s="16"/>
    </row>
    <row r="21" spans="35:37">
      <c r="AI21" s="16"/>
      <c r="AK21" s="16"/>
    </row>
    <row r="22" spans="35:37">
      <c r="AI22" s="16"/>
      <c r="AK22" s="16"/>
    </row>
    <row r="23" spans="35:37">
      <c r="AI23" s="16"/>
      <c r="AK23" s="16"/>
    </row>
    <row r="24" spans="35:37">
      <c r="AI24" s="16"/>
      <c r="AK24" s="16"/>
    </row>
    <row r="25" spans="35:37">
      <c r="AI25" s="16"/>
      <c r="AK25" s="16"/>
    </row>
    <row r="26" spans="35:37">
      <c r="AI26" s="16"/>
      <c r="AK26" s="16"/>
    </row>
    <row r="27" spans="35:37">
      <c r="AI27" s="16"/>
      <c r="AK27" s="16"/>
    </row>
    <row r="28" spans="35:37">
      <c r="AI28" s="16"/>
      <c r="AK28" s="16"/>
    </row>
    <row r="29" spans="35:37">
      <c r="AI29" s="16"/>
      <c r="AK29" s="16"/>
    </row>
    <row r="30" spans="35:37">
      <c r="AI30" s="16"/>
      <c r="AK30" s="16"/>
    </row>
    <row r="31" spans="35:37">
      <c r="AI31" s="16"/>
      <c r="AK31" s="16"/>
    </row>
    <row r="32" spans="35:37">
      <c r="AI32" s="16"/>
      <c r="AK32" s="16"/>
    </row>
    <row r="33" spans="35:37">
      <c r="AI33" s="16"/>
      <c r="AK33" s="16"/>
    </row>
    <row r="34" spans="35:37">
      <c r="AI34" s="16"/>
      <c r="AK34" s="16"/>
    </row>
    <row r="35" spans="35:37">
      <c r="AI35" s="16"/>
      <c r="AK35" s="16"/>
    </row>
    <row r="36" spans="35:37">
      <c r="AI36" s="16"/>
      <c r="AK36" s="16"/>
    </row>
    <row r="37" spans="35:37">
      <c r="AI37" s="16"/>
      <c r="AK37" s="16"/>
    </row>
    <row r="38" spans="35:37">
      <c r="AI38" s="16"/>
      <c r="AK38" s="16"/>
    </row>
    <row r="39" spans="35:37">
      <c r="AI39" s="16"/>
      <c r="AK39" s="16"/>
    </row>
    <row r="40" spans="35:37">
      <c r="AI40" s="16"/>
      <c r="AK40" s="16"/>
    </row>
    <row r="41" spans="35:37">
      <c r="AI41" s="16"/>
      <c r="AK41" s="16"/>
    </row>
    <row r="42" spans="35:37">
      <c r="AI42" s="16"/>
      <c r="AK42" s="16"/>
    </row>
    <row r="43" spans="35:37">
      <c r="AI43" s="16"/>
      <c r="AK43" s="16"/>
    </row>
    <row r="44" spans="35:37">
      <c r="AI44" s="16"/>
      <c r="AK44" s="16"/>
    </row>
    <row r="45" spans="35:37">
      <c r="AI45" s="16"/>
      <c r="AK45" s="16"/>
    </row>
    <row r="46" spans="35:37">
      <c r="AI46" s="16"/>
      <c r="AK46" s="16"/>
    </row>
    <row r="47" spans="35:37">
      <c r="AI47" s="16"/>
      <c r="AK47" s="16"/>
    </row>
    <row r="48" spans="35:37">
      <c r="AI48" s="16"/>
      <c r="AK48" s="16"/>
    </row>
    <row r="49" spans="35:37">
      <c r="AI49" s="16"/>
      <c r="AK49" s="16"/>
    </row>
    <row r="50" spans="35:37">
      <c r="AI50" s="16"/>
      <c r="AK50" s="16"/>
    </row>
    <row r="51" spans="35:37">
      <c r="AI51" s="16"/>
      <c r="AK51" s="16"/>
    </row>
    <row r="52" spans="35:37">
      <c r="AI52" s="16"/>
      <c r="AK52" s="16"/>
    </row>
    <row r="53" spans="35:37">
      <c r="AI53" s="16"/>
      <c r="AK53" s="16"/>
    </row>
    <row r="54" spans="35:37">
      <c r="AI54" s="16"/>
      <c r="AK54" s="16"/>
    </row>
    <row r="55" spans="35:37">
      <c r="AI55" s="16"/>
      <c r="AK55" s="16"/>
    </row>
    <row r="56" spans="35:37">
      <c r="AI56" s="16"/>
      <c r="AK56" s="16"/>
    </row>
    <row r="57" spans="35:37">
      <c r="AI57" s="16"/>
      <c r="AK57" s="16"/>
    </row>
    <row r="58" spans="35:37">
      <c r="AI58" s="26"/>
      <c r="AK58" s="26"/>
    </row>
    <row r="59" spans="35:37">
      <c r="AI59" s="26"/>
      <c r="AK59" s="26"/>
    </row>
    <row r="60" spans="35:37">
      <c r="AI60" s="26"/>
      <c r="AK60" s="26"/>
    </row>
    <row r="61" spans="35:37">
      <c r="AI61" s="26"/>
      <c r="AK61" s="26"/>
    </row>
    <row r="62" spans="35:37">
      <c r="AI62" s="26"/>
      <c r="AK62" s="26"/>
    </row>
    <row r="63" spans="35:37">
      <c r="AI63" s="26"/>
      <c r="AK63" s="26"/>
    </row>
    <row r="64" spans="35:37">
      <c r="AI64" s="26"/>
      <c r="AK64" s="26"/>
    </row>
    <row r="65" spans="35:37">
      <c r="AI65" s="26"/>
      <c r="AK65" s="26"/>
    </row>
  </sheetData>
  <conditionalFormatting sqref="AI4:AI57 AI2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58:AI151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3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4:AK57 AK2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58:AK151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2"/>
  <sheetViews>
    <sheetView workbookViewId="0">
      <selection activeCell="B11" sqref="B11"/>
    </sheetView>
  </sheetViews>
  <sheetFormatPr defaultRowHeight="15"/>
  <cols>
    <col min="1" max="1" width="20" customWidth="1"/>
    <col min="2" max="2" width="50" customWidth="1"/>
  </cols>
  <sheetData>
    <row r="1" spans="1:2">
      <c r="A1" s="382" t="s">
        <v>255</v>
      </c>
      <c r="B1" s="383" t="s">
        <v>256</v>
      </c>
    </row>
    <row r="2" spans="1:2" s="386" customFormat="1">
      <c r="A2" s="384" t="s">
        <v>257</v>
      </c>
      <c r="B2" s="385" t="s">
        <v>258</v>
      </c>
    </row>
    <row r="3" spans="1:2">
      <c r="A3" t="s">
        <v>259</v>
      </c>
      <c r="B3" t="s">
        <v>260</v>
      </c>
    </row>
    <row r="4" spans="1:2" s="389" customFormat="1">
      <c r="A4" s="387" t="s">
        <v>261</v>
      </c>
      <c r="B4" s="388" t="s">
        <v>262</v>
      </c>
    </row>
    <row r="5" spans="1:2">
      <c r="A5" t="s">
        <v>36</v>
      </c>
      <c r="B5" t="s">
        <v>379</v>
      </c>
    </row>
    <row r="6" spans="1:2" s="392" customFormat="1">
      <c r="A6" s="390" t="s">
        <v>263</v>
      </c>
      <c r="B6" s="391" t="s">
        <v>264</v>
      </c>
    </row>
    <row r="7" spans="1:2">
      <c r="A7" t="s">
        <v>265</v>
      </c>
      <c r="B7" t="s">
        <v>266</v>
      </c>
    </row>
    <row r="8" spans="1:2" s="395" customFormat="1">
      <c r="A8" s="393" t="s">
        <v>267</v>
      </c>
      <c r="B8" s="394" t="s">
        <v>268</v>
      </c>
    </row>
    <row r="9" spans="1:2">
      <c r="A9" t="s">
        <v>269</v>
      </c>
      <c r="B9" t="s">
        <v>260</v>
      </c>
    </row>
    <row r="10" spans="1:2" s="398" customFormat="1">
      <c r="A10" s="396" t="s">
        <v>270</v>
      </c>
      <c r="B10" s="397" t="s">
        <v>26</v>
      </c>
    </row>
    <row r="11" spans="1:2">
      <c r="A11" t="s">
        <v>271</v>
      </c>
      <c r="B11" t="s">
        <v>394</v>
      </c>
    </row>
    <row r="12" spans="1:2" s="401" customFormat="1">
      <c r="A12" s="399" t="s">
        <v>272</v>
      </c>
      <c r="B12" s="400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000</vt:lpstr>
      <vt:lpstr>02-E2E</vt:lpstr>
      <vt:lpstr>07-E2E</vt:lpstr>
      <vt:lpstr>08-E2E</vt:lpstr>
      <vt:lpstr>09-E2E</vt:lpstr>
      <vt:lpstr>DB01</vt:lpstr>
      <vt:lpstr>DO04d</vt:lpstr>
      <vt:lpstr>DO04e</vt:lpstr>
      <vt:lpstr>DW01</vt:lpstr>
      <vt:lpstr>DW02</vt:lpstr>
      <vt:lpstr>R09</vt:lpstr>
      <vt:lpstr>Summary</vt:lpstr>
      <vt:lpstr>SpeedFaktor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2024-03-07T15:58:52Z</dcterms:created>
  <dcterms:modified xsi:type="dcterms:W3CDTF">2025-11-05T07:41:25Z</dcterms:modified>
</cp:coreProperties>
</file>